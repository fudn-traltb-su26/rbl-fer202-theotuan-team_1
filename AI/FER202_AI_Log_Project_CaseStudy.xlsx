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570" windowWidth="20775" windowHeight="7110" activeTab="1"/>
  </bookViews>
  <sheets>
    <sheet name="Hướng dẫn" sheetId="1" r:id="rId1"/>
    <sheet name="Thông tin nhóm" sheetId="2" r:id="rId2"/>
    <sheet name="Week_01" sheetId="3" r:id="rId3"/>
    <sheet name="Week_02" sheetId="4" r:id="rId4"/>
    <sheet name="Week_03" sheetId="5" r:id="rId5"/>
    <sheet name="Week_04" sheetId="6" r:id="rId6"/>
    <sheet name="Week_05" sheetId="7" r:id="rId7"/>
    <sheet name="Week_06" sheetId="8" r:id="rId8"/>
    <sheet name="Week_07" sheetId="9" r:id="rId9"/>
    <sheet name="Week_08" sheetId="10" r:id="rId10"/>
    <sheet name="Week_09" sheetId="11" r:id="rId11"/>
    <sheet name="Week_10" sheetId="12" r:id="rId12"/>
    <sheet name="Summary" sheetId="13" r:id="rId13"/>
  </sheets>
  <calcPr calcId="144525"/>
</workbook>
</file>

<file path=xl/calcChain.xml><?xml version="1.0" encoding="utf-8"?>
<calcChain xmlns="http://schemas.openxmlformats.org/spreadsheetml/2006/main">
  <c r="K15" i="13" l="1"/>
  <c r="J15" i="13"/>
  <c r="I15" i="13"/>
  <c r="G15" i="13"/>
  <c r="F15" i="13"/>
  <c r="E15" i="13"/>
  <c r="D15" i="13"/>
  <c r="C15" i="13"/>
  <c r="H15" i="13" s="1"/>
  <c r="K14" i="13"/>
  <c r="J14" i="13"/>
  <c r="I14" i="13"/>
  <c r="G14" i="13"/>
  <c r="F14" i="13"/>
  <c r="E14" i="13"/>
  <c r="D14" i="13"/>
  <c r="C14" i="13"/>
  <c r="H14" i="13" s="1"/>
  <c r="K13" i="13"/>
  <c r="J13" i="13"/>
  <c r="I13" i="13"/>
  <c r="G13" i="13"/>
  <c r="H13" i="13" s="1"/>
  <c r="F13" i="13"/>
  <c r="E13" i="13"/>
  <c r="D13" i="13"/>
  <c r="C13" i="13"/>
  <c r="K12" i="13"/>
  <c r="J12" i="13"/>
  <c r="I12" i="13"/>
  <c r="G12" i="13"/>
  <c r="F12" i="13"/>
  <c r="E12" i="13"/>
  <c r="D12" i="13"/>
  <c r="C12" i="13"/>
  <c r="H12" i="13" s="1"/>
  <c r="K11" i="13"/>
  <c r="J11" i="13"/>
  <c r="I11" i="13"/>
  <c r="G11" i="13"/>
  <c r="F11" i="13"/>
  <c r="E11" i="13"/>
  <c r="D11" i="13"/>
  <c r="C11" i="13"/>
  <c r="H11" i="13" s="1"/>
  <c r="K10" i="13"/>
  <c r="J10" i="13"/>
  <c r="I10" i="13"/>
  <c r="G10" i="13"/>
  <c r="F10" i="13"/>
  <c r="E10" i="13"/>
  <c r="D10" i="13"/>
  <c r="C10" i="13"/>
  <c r="H10" i="13" s="1"/>
  <c r="K9" i="13"/>
  <c r="J9" i="13"/>
  <c r="I9" i="13"/>
  <c r="G9" i="13"/>
  <c r="H9" i="13" s="1"/>
  <c r="F9" i="13"/>
  <c r="E9" i="13"/>
  <c r="D9" i="13"/>
  <c r="C9" i="13"/>
  <c r="K8" i="13"/>
  <c r="J8" i="13"/>
  <c r="I8" i="13"/>
  <c r="I16" i="13" s="1"/>
  <c r="G8" i="13"/>
  <c r="F8" i="13"/>
  <c r="E8" i="13"/>
  <c r="D8" i="13"/>
  <c r="C8" i="13"/>
  <c r="H8" i="13" s="1"/>
  <c r="K7" i="13"/>
  <c r="J7" i="13"/>
  <c r="I7" i="13"/>
  <c r="G7" i="13"/>
  <c r="F7" i="13"/>
  <c r="E7" i="13"/>
  <c r="D7" i="13"/>
  <c r="C7" i="13"/>
  <c r="H7" i="13" s="1"/>
  <c r="K6" i="13"/>
  <c r="K16" i="13" s="1"/>
  <c r="J6" i="13"/>
  <c r="J16" i="13" s="1"/>
  <c r="I6" i="13"/>
  <c r="G6" i="13"/>
  <c r="G16" i="13" s="1"/>
  <c r="F6" i="13"/>
  <c r="F16" i="13" s="1"/>
  <c r="E6" i="13"/>
  <c r="E16" i="13" s="1"/>
  <c r="D6" i="13"/>
  <c r="D16" i="13" s="1"/>
  <c r="C6" i="13"/>
  <c r="C16" i="13" s="1"/>
  <c r="H6" i="13" l="1"/>
  <c r="H16" i="13" s="1"/>
</calcChain>
</file>

<file path=xl/sharedStrings.xml><?xml version="1.0" encoding="utf-8"?>
<sst xmlns="http://schemas.openxmlformats.org/spreadsheetml/2006/main" count="2242" uniqueCount="1080">
  <si>
    <t>FER202 — AI Log Template  |  Project Nhóm</t>
  </si>
  <si>
    <t>Hướng dẫn sử dụng  |  FPT University</t>
  </si>
  <si>
    <t>📌  MỤC ĐÍCH</t>
  </si>
  <si>
    <t>File này dùng để gì?</t>
  </si>
  <si>
    <t>Ghi lại nhật ký sử dụng AI của nhóm trong suốt project môn FER202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</si>
  <si>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</si>
  <si>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</si>
  <si>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</si>
  <si>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</si>
  <si>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</si>
  <si>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</si>
  <si>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</si>
  <si>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</si>
  <si>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</si>
  <si>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</si>
  <si>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(công thức)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</si>
  <si>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</si>
  <si>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</si>
  <si>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</si>
  <si>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</si>
  <si>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</si>
  <si>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</si>
  <si>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</si>
  <si>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</si>
  <si>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</si>
  <si>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</si>
  <si>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</si>
  <si>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 E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</si>
  <si>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</si>
  <si>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</si>
  <si>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</si>
  <si>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</si>
  <si>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</si>
  <si>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</si>
  <si>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FER202</t>
  </si>
  <si>
    <t>📋  Thông tin lớp</t>
  </si>
  <si>
    <t>Mã lớp học</t>
  </si>
  <si>
    <t>FER202_SE20A07</t>
  </si>
  <si>
    <t>Giảng viên</t>
  </si>
  <si>
    <t>Lê Thị Bích Tra  —  traltb@fe.edu.vn</t>
  </si>
  <si>
    <t>Học kỳ / Năm học</t>
  </si>
  <si>
    <t>SU26</t>
  </si>
  <si>
    <t>Tên nhóm</t>
  </si>
  <si>
    <t>Nhóm 01 — ONLINE MOVIE TICKET SELLING SYSTEM</t>
  </si>
  <si>
    <t>Số thành viên</t>
  </si>
  <si>
    <t>5</t>
  </si>
  <si>
    <t>👥  Danh sách thành viên</t>
  </si>
  <si>
    <t>Ký hiệu (*)</t>
  </si>
  <si>
    <t>Họ và tên (*)</t>
  </si>
  <si>
    <t>MSSV (*)</t>
  </si>
  <si>
    <t>Email (*)</t>
  </si>
  <si>
    <t>Vai trò</t>
  </si>
  <si>
    <t>Ghi chú</t>
  </si>
  <si>
    <t>A</t>
  </si>
  <si>
    <t>Nguyễn Hữu Tấn Đạt</t>
  </si>
  <si>
    <t>DE190660</t>
  </si>
  <si>
    <t>tandatnguyen.25122000@gmail.com</t>
  </si>
  <si>
    <t>Trưởng nhóm</t>
  </si>
  <si>
    <t>B</t>
  </si>
  <si>
    <t>Nguyên MINH Huy</t>
  </si>
  <si>
    <t>DE190806</t>
  </si>
  <si>
    <t>xvcxhuy1239999@gmail.com</t>
  </si>
  <si>
    <t>Thành viên</t>
  </si>
  <si>
    <t>C</t>
  </si>
  <si>
    <t>Bùi Thùy Dung</t>
  </si>
  <si>
    <t>DE190949</t>
  </si>
  <si>
    <t>buingocquanhoang@gmail.com</t>
  </si>
  <si>
    <t>D</t>
  </si>
  <si>
    <t>Huỳnh Thị Thúy Kiều</t>
  </si>
  <si>
    <t>DE190554</t>
  </si>
  <si>
    <t>huynhthithuykieu0221@gmail.com</t>
  </si>
  <si>
    <t>E</t>
  </si>
  <si>
    <t>Nguyỹn Xuân Thịnh</t>
  </si>
  <si>
    <t>💡  Mô tả dự án</t>
  </si>
  <si>
    <t>Tên hệ thống</t>
  </si>
  <si>
    <t>ONLINE MOVIE TICKET SELLING SYSTEM — Hệ thống bán vé xem phim trực tuyến</t>
  </si>
  <si>
    <t>Mô tả ngắn</t>
  </si>
  <si>
    <t>Công nghệ sử dụng</t>
  </si>
  <si>
    <t>React 18, Vite, React Router DOM 6, React-Bootstrap 2.x, Axios, Node.js, ExpressJS, SQL Server, JWT, Gemini API, GitHub.</t>
  </si>
  <si>
    <t>Link repo (GitHub/GitLab)</t>
  </si>
  <si>
    <t>https://github.com/fudn-traltb-su26/rbl-fer202-theotuan-team_1.git</t>
  </si>
  <si>
    <t>Link Jira</t>
  </si>
  <si>
    <t>Link demo</t>
  </si>
  <si>
    <t>WEEK 01 — Nhật ký AI &amp; Project</t>
  </si>
  <si>
    <t>Mỗi thành viên dùng ký hiệu A/B/C/D/E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</si>
  <si>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</si>
  <si>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</si>
  <si>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</si>
  <si>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</si>
  <si>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</si>
  <si>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</si>
  <si>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</si>
  <si>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</si>
  <si>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</si>
  <si>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</si>
  <si>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ChatGPT</t>
  </si>
  <si>
    <t>Tư vấn cấu trúc project React + Node.js cho hệ thống TicketNow</t>
  </si>
  <si>
    <t>front_end/, back_end/</t>
  </si>
  <si>
    <t>Medium</t>
  </si>
  <si>
    <t>Chia project thành Front-end và Back-end</t>
  </si>
  <si>
    <t>Project khởi tạo thành công</t>
  </si>
  <si>
    <t>Thiết kế giao diện Trang chủ (Home Page)</t>
  </si>
  <si>
    <t>src/pages/Home</t>
  </si>
  <si>
    <t>High</t>
  </si>
  <si>
    <t>Điều chỉnh Hero Banner và danh sách sự kiện nổi bật</t>
  </si>
  <si>
    <t>Kiểm tra hiển thị đúng</t>
  </si>
  <si>
    <t>Thiết kế giao diện Login và Register</t>
  </si>
  <si>
    <t>src/pages/Auth</t>
  </si>
  <si>
    <t>Chỉnh Responsive và bố cục Form</t>
  </si>
  <si>
    <t>Hiển thị đúng trên Desktop</t>
  </si>
  <si>
    <t>GitHub Copilot</t>
  </si>
  <si>
    <t>Sinh các Component React cơ bản</t>
  </si>
  <si>
    <t>src/components</t>
  </si>
  <si>
    <t>Tách Header, Footer, Layout</t>
  </si>
  <si>
    <t>Component hoạt động bình thường</t>
  </si>
  <si>
    <t>Tạo README và hướng dẫn cài đặt project</t>
  </si>
  <si>
    <t>README.md</t>
  </si>
  <si>
    <t>Low</t>
  </si>
  <si>
    <t>Viết lại phần mô tả và cách chạy</t>
  </si>
  <si>
    <t>README hiển thị đúng trên GitHub</t>
  </si>
  <si>
    <t>Kiểm tra cấu trúc thư mục và tối ưu Project</t>
  </si>
  <si>
    <t>toàn bộ project</t>
  </si>
  <si>
    <t>Loại bỏ thư mục không cần thiết, chuẩn hóa cấu trúc</t>
  </si>
  <si>
    <t>npm run dev thành công</t>
  </si>
  <si>
    <t>📝  BẢNG 2: Nhật ký thay đổi project  (CHANGELOG)</t>
  </si>
  <si>
    <t>Loại (*)</t>
  </si>
  <si>
    <t>Mô tả thay đổi (*)</t>
  </si>
  <si>
    <t>File liên quan</t>
  </si>
  <si>
    <t>Added — Thêm mới</t>
  </si>
  <si>
    <t>Khởi tạo GitHub Repository TicketNow</t>
  </si>
  <si>
    <t>Tạo repository và cấu hình ban đầu</t>
  </si>
  <si>
    <t>Khởi tạo React + Vite Project</t>
  </si>
  <si>
    <t>package.json</t>
  </si>
  <si>
    <t>npm create vite@latest</t>
  </si>
  <si>
    <t>Khởi tạo Express Server</t>
  </si>
  <si>
    <t>server.js</t>
  </si>
  <si>
    <t>Cài đặt các thư viện cần thiết</t>
  </si>
  <si>
    <t>Thiết kế giao diện Home Page</t>
  </si>
  <si>
    <t>Home.jsx</t>
  </si>
  <si>
    <t>Hoàn thành giao diện ban đầu</t>
  </si>
  <si>
    <t>Thiết kế Header và Footer</t>
  </si>
  <si>
    <t>Header.jsx, Footer.jsx</t>
  </si>
  <si>
    <t>Áp dụng Bootstrap</t>
  </si>
  <si>
    <t>Thiết kế Login và Register</t>
  </si>
  <si>
    <t>Login.jsx, Register.jsx</t>
  </si>
  <si>
    <t>Responsive cơ bản</t>
  </si>
  <si>
    <t>Tạo cấu trúc Components</t>
  </si>
  <si>
    <t>Tách component để tái sử dụng</t>
  </si>
  <si>
    <t>Viết README hướng dẫn cài đặt</t>
  </si>
  <si>
    <t>Thêm hướng dẫn npm install và npm run dev</t>
  </si>
  <si>
    <t>Changed — Cải tiến</t>
  </si>
  <si>
    <t>Điều chỉnh màu chủ đạo của giao diện</t>
  </si>
  <si>
    <t>src/assets/, src/styles/</t>
  </si>
  <si>
    <t>Đồng bộ giao diện</t>
  </si>
  <si>
    <t>Cập nhật Responsive cho Form</t>
  </si>
  <si>
    <t>src/pages/Login.jsx, Register.jsx</t>
  </si>
  <si>
    <t>Hiển thị tốt trên Mobile</t>
  </si>
  <si>
    <t>Chuẩn hóa cấu trúc thư mục Components</t>
  </si>
  <si>
    <t>src/components/</t>
  </si>
  <si>
    <t>Dễ bảo trì và tái sử dụng</t>
  </si>
  <si>
    <t>Fixed — Sửa lỗi</t>
  </si>
  <si>
    <t>Sửa lỗi cấu hình React Router</t>
  </si>
  <si>
    <t>src/App.jsx</t>
  </si>
  <si>
    <t>Điều hướng hoạt động đúng</t>
  </si>
  <si>
    <t>Sửa lỗi Navbar hiển thị trên màn hình nhỏ</t>
  </si>
  <si>
    <t>src/components/Header.jsx</t>
  </si>
  <si>
    <t>Kiểm tra Responsive</t>
  </si>
  <si>
    <t>Sửa lỗi hiển thị Form Login</t>
  </si>
  <si>
    <t>src/pages/Login.jsx</t>
  </si>
  <si>
    <t>Căn chỉnh Bootstrap</t>
  </si>
  <si>
    <t>Removed — Xóa bỏ</t>
  </si>
  <si>
    <t>Create a responsive Login and Register page using React Bootstrap with validation.</t>
  </si>
  <si>
    <t>Mỗi prompt quan trọng ghi 1 block gồm 4 dòng. Ghi rõ prompt đã dùng, kết quả, cách nhóm sử dụng, và kiểm chứng.</t>
  </si>
  <si>
    <t>Prompt #</t>
  </si>
  <si>
    <t>TV</t>
  </si>
  <si>
    <t>Công cụ AI</t>
  </si>
  <si>
    <t>Prompt đã dùng (nguyên văn) (*)</t>
  </si>
  <si>
    <t>Prompt #1  (B — Google Stitch)</t>
  </si>
  <si>
    <t>Design a modern homepage for an online event ticket booking website named TicketNow. Include a responsive Navbar, Hero Banner, Featured Events section, Categories, Footer, and a blue-white color scheme using React Bootstrap.</t>
  </si>
  <si>
    <t>Kết quả AI trả về và vấn đề gặp phải:</t>
  </si>
  <si>
    <t>AI tạo giao diện đầy đủ nhưng Hero Banner quá lớn và danh sách sự kiện chưa cân đối.</t>
  </si>
  <si>
    <t>Nhóm đã chỉnh sửa / sử dụng như thế nào:</t>
  </si>
  <si>
    <t>Thu nhỏ Hero Banner.
Điều chỉnh khoảng cách giữa các section.
Thêm nút "Book Now".</t>
  </si>
  <si>
    <t>Kiểm chứng (test pass/fail, kết quả đúng không):</t>
  </si>
  <si>
    <t>Đối chiếu với yêu cầu môn học, giao diện hiển thị đúng.</t>
  </si>
  <si>
    <t>Prompt #2  (D — ChatGPT-4o)</t>
  </si>
  <si>
    <t>Sinh đầy đủ Form Login và Register.</t>
  </si>
  <si>
    <t>Thêm Logo.
Bổ sung Forgot Password.
Chỉnh Responsive.</t>
  </si>
  <si>
    <t>Hiển thị đúng trên Desktop và Mobile.</t>
  </si>
  <si>
    <t>Prompt #3  (E — Claude)</t>
  </si>
  <si>
    <t>Suggest a folder structure for a React + Express + MongoDB Event Ticket Booking System.</t>
  </si>
  <si>
    <t>Đề xuất kiến trúc MVC.</t>
  </si>
  <si>
    <t>Thêm middleware.
Thêm services.
Chuẩn hóa routes.</t>
  </si>
  <si>
    <t>Project chạy thành công bằng npm.</t>
  </si>
  <si>
    <t>Prompt #4  (A — ChatGPT-4o)</t>
  </si>
  <si>
    <t>Create a responsive navigation bar for TicketNow using React Bootstrap.</t>
  </si>
  <si>
    <t>Sinh Navbar cơ bản.</t>
  </si>
  <si>
    <t>Thêm Search.
Thêm Login.
Thêm Register.
Điều chỉnh Responsive.</t>
  </si>
  <si>
    <t>Navbar hoạt động đúng trên nhiều kích thước màn hình.</t>
  </si>
  <si>
    <t>🪞  BẢNG 4: Suy ngẫm cuối tuần  (REFLECTION)</t>
  </si>
  <si>
    <t>Mỗi thành viên điền 1 block riêng. Mục 'AI sai/thiếu' bắt buộc ≥ 2 ví dụ cụ thể. Viết thành câu đầy đủ.</t>
  </si>
  <si>
    <t>Thành viên A — Trưởng nhóm</t>
  </si>
  <si>
    <t>Đã làm gì trong tuần này? (*)</t>
  </si>
  <si>
    <t>Tạo GitHub repo, cấu hình Vite project, cài react-bootstrap/router/axios, tổ chức thư mục src/, viết README.</t>
  </si>
  <si>
    <t>AI đã hỗ trợ như thế nào?</t>
  </si>
  <si>
    <t>ChatGPT-4o tư vấn cấu trúc thư mục và so sánh Vite/CRA; Copilot sinh README skeleton — tiết kiệm ~1h.</t>
  </si>
  <si>
    <t>AI sai hoặc thiếu ở đâu? (*)</t>
  </si>
  <si>
    <t>(1) AI vẫn gợi ý CRA dù đã deprecated — phải tự kiểm chứng docs react.dev. (2) Cấu trúc thư mục AI đề xuất có redux/ ngay tuần 1 — quá sớm so với lộ trình môn.</t>
  </si>
  <si>
    <t>Khó khăn gặp phải</t>
  </si>
  <si>
    <t>Conflict version giữa bootstrap 5 và react-bootstrap khi cài — phải đọc bảng tương thích.</t>
  </si>
  <si>
    <t>Nếu làm lại, sẽ cải thiện điều gì?</t>
  </si>
  <si>
    <t>Ghi rõ version (React 18, react-bootstrap 2.x) ngay trong prompt để AI trả lời đúng ngữ cảnh.</t>
  </si>
  <si>
    <t>Thành viên B — Thành viên</t>
  </si>
  <si>
    <t>Thiết kế mockup Trang chủ + Danh sách sách bằng Google Stitch theo workflow 5 bước; lưu prompt log.</t>
  </si>
  <si>
    <t>Stitch generate layout ~5 phút/màn, iterate bằng prompt thay vì vẽ tay — tiết kiệm ~3h so với Figma thủ công.</t>
  </si>
  <si>
    <t>(1) Grid sinh ra 3 cột thay vì 4 như yêu cầu. (2) Thiếu strikethrough giá gốc và discount badge — phải prompt bổ sung 2 lần.</t>
  </si>
  <si>
    <t>Viết prompt mô tả UI chi tiết bằng tiếng Anh; prompt mơ hồ → output lệch requirements.</t>
  </si>
  <si>
    <t>Chuẩn bị requirements checklist trước khi prompt, đối chiếu từng component sau mỗi lần generate.</t>
  </si>
  <si>
    <t>Thành viên C — Thành viên</t>
  </si>
  <si>
    <t>Tạo prototype tương tác Chi tiết sách + Giỏ hàng bằng Figma Make; thống nhất style guide nhóm.</t>
  </si>
  <si>
    <t>Figma Make sinh prototype có interaction cart badge; Plan mode hỏi lại yêu cầu giúp output sát requirements hơn.</t>
  </si>
  <si>
    <t>(1) Sinh thêm màn checkout không có trong scope tuần 1. (2) Nút số lượng ± không giới hạn min=1, cho phép số âm.</t>
  </si>
  <si>
    <t>Paste design từ Stitch sang Figma bị lệch layer ở phần Footer.</t>
  </si>
  <si>
    <t>Ghi rõ scope màn hình và constraint (min/max) ngay trong prompt đầu tiên.</t>
  </si>
  <si>
    <t>Thành viên D — Thành viên</t>
  </si>
  <si>
    <t>Thiết kế db.json với books (12 fields), categories; seed 20 sách mẫu; chạy thử json-server.</t>
  </si>
  <si>
    <t>ChatGPT-4o sinh cấu trúc + data mẫu nhanh, gợi ý field originalPrice để làm tính năng giảm giá.</t>
  </si>
  <si>
    <t>(1) Giá tiền sinh dạng string "120000đ" không sort được. (2) Rating có giá trị 5.5 vượt thang 5 — phải clamp thủ công.</t>
  </si>
  <si>
    <t>Phân vân cấu trúc quan hệ books–categories (categoryId vs nested) cho json-server.</t>
  </si>
  <si>
    <t>Định nghĩa schema + kiểu dữ liệu trước, yêu cầu AI tuân theo schema thay vì để AI tự quyết.</t>
  </si>
  <si>
    <t>Thành viên E — Thành viên</t>
  </si>
  <si>
    <t>Vẽ Component Tree 4 màn hình, viết README, tổng hợp prompt log cả nhóm vào docs/mockup/prompts.md.</t>
  </si>
  <si>
    <t>Claude vẽ component tree dạng text rõ, giải thích vì sao tách component — học được tư duy chia component.</t>
  </si>
  <si>
    <t>(1) Claude tách BookCard thành 2 component trùng lặp thay vì dùng props variant. (2) Quên Footer trong cây component dù mockup có.</t>
  </si>
  <si>
    <t>Tổng hợp prompt log từ 4 bạn dùng 3 tool khác nhau, format không thống nhất.</t>
  </si>
  <si>
    <t>Tạo template prompt log chung ngay đầu tuần để mọi người điền cùng format.</t>
  </si>
  <si>
    <t>FER202  |  Week 01  |  FPT University — Điền xong nhớ Ctrl+S để lưu!</t>
  </si>
  <si>
    <t>WEEK 02 — Nhật ký AI &amp; Project</t>
  </si>
  <si>
    <t>Hướng dẫn chia giao diện thành Functional Components và tổ chức thư mục React</t>
  </si>
  <si>
    <t>Tách Layout, Header, Footer thành các component riêng</t>
  </si>
  <si>
    <t>Chạy npm run dev, các component render đúng</t>
  </si>
  <si>
    <t>Viết JSX cho Home Page và Event Card</t>
  </si>
  <si>
    <t>src/pages/Home.jsx</t>
  </si>
  <si>
    <t>Chỉnh lại cấu trúc JSX và bố cục Bootstrap</t>
  </si>
  <si>
    <t>Giao diện hiển thị đúng theo thiết kế</t>
  </si>
  <si>
    <t>Sinh Functional Components cho Navbar và Footer</t>
  </si>
  <si>
    <t>src/components/Navbar.jsx, Footer.jsx</t>
  </si>
  <si>
    <t>Bổ sung props và Responsive</t>
  </si>
  <si>
    <t>Component tái sử dụng được ở nhiều trang</t>
  </si>
  <si>
    <t>Hướng dẫn truyền dữ liệu bằng Props giữa các Component</t>
  </si>
  <si>
    <t>src/components/EventCard.jsx</t>
  </si>
  <si>
    <t>Chuẩn hóa tên props và cấu trúc dữ liệu</t>
  </si>
  <si>
    <t>Props truyền đúng, dữ liệu hiển thị chính xác</t>
  </si>
  <si>
    <t>Kiểm tra JSX và tối ưu cấu trúc Component</t>
  </si>
  <si>
    <t>src/components/, src/pages/</t>
  </si>
  <si>
    <t>Loại bỏ JSX dư thừa, chuẩn hóa format</t>
  </si>
  <si>
    <t>Không còn lỗi JSX khi chạy project</t>
  </si>
  <si>
    <t>Rà soát Functional Components và tối ưu cấu trúc giao diện</t>
  </si>
  <si>
    <t>Toàn bộ Front-end</t>
  </si>
  <si>
    <t>Chuẩn hóa cách đặt tên Component</t>
  </si>
  <si>
    <t>Project hoạt động ổn định</t>
  </si>
  <si>
    <t>Tạo các Functional Components dùng chung (Layout, Header, Footer)</t>
  </si>
  <si>
    <t>Tái sử dụng cho toàn bộ project</t>
  </si>
  <si>
    <t>Xây dựng Home Page bằng JSX</t>
  </si>
  <si>
    <t>Hiển thị danh sách sự kiện</t>
  </si>
  <si>
    <t>Tạo EventCard Component</t>
  </si>
  <si>
    <t>Hiển thị thông tin sự kiện</t>
  </si>
  <si>
    <t>Tạo Navbar Component</t>
  </si>
  <si>
    <t>src/components/Navbar.jsx</t>
  </si>
  <si>
    <t>Điều hướng giữa các trang</t>
  </si>
  <si>
    <t>Tạo Footer Component</t>
  </si>
  <si>
    <t>src/components/Footer.jsx</t>
  </si>
  <si>
    <t>Hiển thị thông tin cuối trang</t>
  </si>
  <si>
    <t>Tạo SearchBar Component</t>
  </si>
  <si>
    <t>src/components/SearchBar.jsx</t>
  </si>
  <si>
    <t>Chuẩn bị cho chức năng tìm kiếm</t>
  </si>
  <si>
    <t>Hoàn thiện cấu trúc Components và Pages</t>
  </si>
  <si>
    <t>Chuẩn hóa cấu trúc dự án</t>
  </si>
  <si>
    <t>Điều chỉnh bố cục JSX theo Bootstrap Grid</t>
  </si>
  <si>
    <t>Giao diện cân đối hơn</t>
  </si>
  <si>
    <t>Cập nhật Props cho EventCard</t>
  </si>
  <si>
    <t>Dễ tái sử dụng</t>
  </si>
  <si>
    <t>Chuẩn hóa cách đặt tên Functional Components</t>
  </si>
  <si>
    <t>Theo PascalCase</t>
  </si>
  <si>
    <t>Sửa lỗi JSX trả về nhiều phần tử</t>
  </si>
  <si>
    <t>Bọc bằng Fragment (&lt;&gt; &lt;/&gt;)</t>
  </si>
  <si>
    <t>Sửa lỗi thiếu thuộc tính key khi render danh sách</t>
  </si>
  <si>
    <t>Loại bỏ cảnh báo React</t>
  </si>
  <si>
    <t>Sửa lỗi truyền Props sai tên</t>
  </si>
  <si>
    <t>Dữ liệu hiển thị đúng</t>
  </si>
  <si>
    <t>💡  BẢNG 3: Nhật ký Prompt AI  (PROMPTS)</t>
  </si>
  <si>
    <t>Prompt #1  (C — GitHub Copilot)</t>
  </si>
  <si>
    <t>Hướng dẫn chia giao diện website TicketNow thành các Functional Components trong React. Đề xuất cấu trúc thư mục phù hợp và các component có thể tái sử dụng như Header, Footer, Navbar, EventCard và Layout.</t>
  </si>
  <si>
    <t>AI đề xuất cấu trúc component hợp lý nhưng tạo quá nhiều component nhỏ, khiến việc quản lý trở nên phức tạp.</t>
  </si>
  <si>
    <t>Gộp một số component có chức năng tương tự và giữ lại các component có khả năng tái sử dụng cao.</t>
  </si>
  <si>
    <t>Project chạy thành công, các component được tái sử dụng ở nhiều trang và không phát sinh lỗi.</t>
  </si>
  <si>
    <t>Create a React JSX homepage for an online event ticket booking website using React Bootstrap and reusable components.</t>
  </si>
  <si>
    <t>AI sinh đầy đủ JSX nhưng bố cục chưa cân đối và thiếu Responsive.</t>
  </si>
  <si>
    <t>Điều chỉnh Bootstrap Grid, khoảng cách giữa các section và thêm Responsive.</t>
  </si>
  <si>
    <t>Giao diện hiển thị đúng</t>
  </si>
  <si>
    <t>Generate reusable React Functional Components for Navbar, Footer and Event Card using JSX.</t>
  </si>
  <si>
    <t>Component hoạt động nhưng thiếu Props để truyền dữ liệu động.</t>
  </si>
  <si>
    <t>Bổ sung Props và chuẩn hóa tên thuộc tính.</t>
  </si>
  <si>
    <t>Component hiển thị dữ liệu chính xác và có thể tái sử dụng.</t>
  </si>
  <si>
    <t>Explain how to pass Props between React Functional Components and render a list using JSX.</t>
  </si>
  <si>
    <t>AI hướng dẫn đúng nhưng chưa thêm thuộc tính key khi render danh sách.</t>
  </si>
  <si>
    <t>Bổ sung key cho từng phần tử và chuẩn hóa cấu trúc JSX.</t>
  </si>
  <si>
    <t>Không còn cảnh báo của React, dữ liệu hiển thị chính xác.</t>
  </si>
  <si>
    <t>Tổ chức lại cấu trúc Functional Components, xây dựng Layout chung và chuẩn hóa thư mục dự án.</t>
  </si>
  <si>
    <t>ChatGPT gợi ý cách chia nhỏ component và tổ chức thư mục React hợp lý, giúp giảm thời gian thiết kế cấu trúc.</t>
  </si>
  <si>
    <t xml:space="preserve">Sửa lỗi JSX trả về nhiều phần tử
Sửa lỗi thiếu thuộc tính key khi render danh sách
</t>
  </si>
  <si>
    <t>Xác định mức độ tách component để vừa dễ bảo trì vừa tránh dư thừa.</t>
  </si>
  <si>
    <t>Xây dựng sơ đồ Component Tree trước khi bắt đầu lập trình.</t>
  </si>
  <si>
    <t>Xây dựng giao diện Home Page bằng JSX và Bootstrap.</t>
  </si>
  <si>
    <t>Sinh nhanh cấu trúc JSX và bố cục giao diện.</t>
  </si>
  <si>
    <t>Bố cục Bootstrap chưa cân đối.
Chưa Responsive trên màn hình nhỏ.</t>
  </si>
  <si>
    <t>Điều chỉnh giao diện Responsive.</t>
  </si>
  <si>
    <t>sẽ viết prompt chi tiết hơn về bố cục và Responsive.</t>
  </si>
  <si>
    <t>Thành viên c — Thành viên</t>
  </si>
  <si>
    <t>Xây dựng Navbar, Footer và EventCard Component.</t>
  </si>
  <si>
    <t>Sinh nhanh Functional Components bằng JSX.</t>
  </si>
  <si>
    <t>Thiếu Props cho dữ liệu động.
Chưa xử lý thuộc tính key khi render danh sách.</t>
  </si>
  <si>
    <t>Tái sử dụng component ở nhiều màn hình.</t>
  </si>
  <si>
    <t>thiết kế Props ngay từ đầu</t>
  </si>
  <si>
    <t>Hoàn thiện truyền dữ liệu giữa các Component bằng Props.</t>
  </si>
  <si>
    <t>Giải thích cách truyền Props và render danh sách.</t>
  </si>
  <si>
    <t>Chưa chuẩn hóa tên Props.
Chưa tối ưu cấu trúc dữ liệu.</t>
  </si>
  <si>
    <t>Quản lý dữ liệu giữa các Component.</t>
  </si>
  <si>
    <t>sẽ định nghĩa kiểu dữ liệu trước khi code.</t>
  </si>
  <si>
    <t>Kiểm tra JSX, chuẩn hóa Components và tổng hợp tài liệu.</t>
  </si>
  <si>
    <t>Hỗ trợ rà soát JSX và phát hiện các đoạn mã dư thừa.</t>
  </si>
  <si>
    <t>Chưa thống nhất cách đặt tên Component.
Một số JSX chưa tối ưu.</t>
  </si>
  <si>
    <t>Đồng bộ coding style giữa các thành viên.</t>
  </si>
  <si>
    <t>sẽ thống nhất coding convention ngay từ đầu.</t>
  </si>
  <si>
    <t>FER202  |  Week 02  |  FPT University — Điền xong nhớ Ctrl+S để lưu!</t>
  </si>
  <si>
    <t>WEEK 03 — Nhật ký AI &amp; Project</t>
  </si>
  <si>
    <t>Hướng dẫn truyền dữ liệu giữa các Component bằng Props</t>
  </si>
  <si>
    <t>Thiết kế Component EventCard nhận dữ liệu từ Component cha</t>
  </si>
  <si>
    <t>Điều chỉnh JSX và Bootstrap Card</t>
  </si>
  <si>
    <t>Component hiển thị đúng thông tin sự kiện</t>
  </si>
  <si>
    <t>Sinh Component EventList và render bằng props</t>
  </si>
  <si>
    <t>src/components/EventList.jsx</t>
  </si>
  <si>
    <t>Tối ưu việc truyền danh sách sự kiện</t>
  </si>
  <si>
    <t>Render danh sách thành công</t>
  </si>
  <si>
    <t>Hướng dẫn giao tiếp giữa Parent Component và Child Component</t>
  </si>
  <si>
    <t>Tách dữ liệu khỏi giao diện</t>
  </si>
  <si>
    <t>Component hoạt động ổn định</t>
  </si>
  <si>
    <t>Kiểm tra luồng truyền dữ liệu giữa các Component</t>
  </si>
  <si>
    <t>Chuẩn hóa Props và loại bỏ dữ liệu trùng lặp</t>
  </si>
  <si>
    <t>Không còn lỗi truyền dữ liệu</t>
  </si>
  <si>
    <t>Rà soát cấu trúc Component Communication</t>
  </si>
  <si>
    <t>Tối ưu cách truyền Props</t>
  </si>
  <si>
    <t>Project chạy ổn định</t>
  </si>
  <si>
    <t>Tạo Component EventList để quản lý danh sách sự kiện</t>
  </si>
  <si>
    <t>Render danh sách bằng Props</t>
  </si>
  <si>
    <t>Tạo Component EventCard nhận dữ liệu từ Component cha</t>
  </si>
  <si>
    <t>Tạo Component CategoryCard</t>
  </si>
  <si>
    <t>src/components/CategoryCard.jsx</t>
  </si>
  <si>
    <t>Hiển thị danh mục sự kiện</t>
  </si>
  <si>
    <t>Thêm Props cho Navbar để hiển thị tên người dùng</t>
  </si>
  <si>
    <t>Chuẩn bị chức năng đăng nhập</t>
  </si>
  <si>
    <t>Tạo dữ liệu mẫu truyền vào Components</t>
  </si>
  <si>
    <t>src/data/events.js</t>
  </si>
  <si>
    <t>Kiểm thử Component Communication</t>
  </si>
  <si>
    <t>Cập nhật EventCard nhận dữ liệu bằng Props</t>
  </si>
  <si>
    <t>Tăng khả năng tái sử dụng</t>
  </si>
  <si>
    <t>Chuẩn hóa cấu trúc dữ liệu truyền giữa các Component</t>
  </si>
  <si>
    <t>Dễ mở rộng dữ liệu</t>
  </si>
  <si>
    <t>Điều chỉnh Home truyền Props xuống EventList</t>
  </si>
  <si>
    <t>Giảm trùng lặp mã nguồn</t>
  </si>
  <si>
    <t>Sửa lỗi truyền sai tên Props</t>
  </si>
  <si>
    <t>Hiển thị đúng dữ liệu</t>
  </si>
  <si>
    <t>Sửa lỗi dữ liệu undefined khi Component nhận Props</t>
  </si>
  <si>
    <t>Kiểm tra điều kiện trước khi render</t>
  </si>
  <si>
    <t>Prompt #1  (C — ChatGPT-4o)</t>
  </si>
  <si>
    <t>Explain how to pass Props between React Functional Components and build reusable components for an Event Ticket Booking System.</t>
  </si>
  <si>
    <t>AI hướng dẫn đúng cách truyền Props nhưng truyền quá nhiều Props trực tiếp, khiến Component khó quản lý.</t>
  </si>
  <si>
    <t>Nhóm gom các thuộc tính liên quan thành object event và chỉ truyền một Props duy nhất để mã nguồn gọn hơn.</t>
  </si>
  <si>
    <t>Chạy thành công bằng npm run dev, dữ liệu hiển thị đầy đủ và không phát sinh lỗi truyền Props.</t>
  </si>
  <si>
    <t>Prompt #2  (D — Claude)</t>
  </si>
  <si>
    <t>Create a reusable EventCard component using React Props and Bootstrap Card.</t>
  </si>
  <si>
    <t>AI tạo đúng Component nhưng thiếu xử lý khi dữ liệu ảnh hoặc giá trị không tồn tại.</t>
  </si>
  <si>
    <t>Thêm giá trị mặc định và kiểm tra dữ liệu trước khi hiển thị.</t>
  </si>
  <si>
    <t>EventCard hiển thị đúng với nhiều bộ dữ liệu khác nhau.</t>
  </si>
  <si>
    <t>Prompt #3  (B — GitHub Copilot)</t>
  </si>
  <si>
    <t>Generate a React Component to render a list of events using map() and Props.</t>
  </si>
  <si>
    <t>AI sử dụng map() đúng nhưng thiếu thuộc tính key cho từng phần tử.</t>
  </si>
  <si>
    <t>Bổ sung key bằng id của sự kiện và chuẩn hóa dữ liệu đầu vào.</t>
  </si>
  <si>
    <t>Danh sách sự kiện render đúng, không còn cảnh báo React.</t>
  </si>
  <si>
    <t>How to communicate between Parent Component and Child Component in React using Props?</t>
  </si>
  <si>
    <t>AI giải thích đầy đủ nhưng chưa hướng dẫn cách truyền callback function từ Component cha.</t>
  </si>
  <si>
    <t>Bổ sung callback function để chuẩn bị cho các chức năng xử lý sự kiện ở các tuần tiếp theo.</t>
  </si>
  <si>
    <t>Parent Component truyền dữ liệu và callback xuống Child Component thành công.</t>
  </si>
  <si>
    <t>Thiết kế luồng truyền dữ liệu giữa các Component, xây dựng EventList truyền dữ liệu cho EventCard bằng Props, rà soát Component Communication và review Pull Request của các thành viên.</t>
  </si>
  <si>
    <t>ChatGPT giải thích cơ chế truyền Props, One-way Data Flow và cách tổ chức Parent–Child Component, giúp giảm thời gian nghiên cứu tài liệu React.</t>
  </si>
  <si>
    <t>(1) AI truyền quá nhiều Props riêng lẻ thay vì nhóm thành object nên Component khó quản lý. (2) Chưa hướng dẫn rõ cách truyền callback function từ Component cha xuống Component con để xử lý sự kiện.</t>
  </si>
  <si>
    <t>Thiết kế luồng dữ liệu giữa nhiều Component nhưng vẫn đảm bảo khả năng tái sử dụng.</t>
  </si>
  <si>
    <t>Thiết kế sơ đồ Component Communication trước khi lập trình và thống nhất quy ước truyền Props ngay từ đầu.</t>
  </si>
  <si>
    <t>Xây dựng EventCard nhận dữ liệu bằng Props, hoàn thiện giao diện Bootstrap Card và hiển thị thông tin sự kiện.</t>
  </si>
  <si>
    <t>GitHub Copilot hỗ trợ sinh nhanh Functional Component và JSX, giúp giảm thời gian viết cấu trúc giao diện.</t>
  </si>
  <si>
    <t>(1) Chưa xử lý trường hợp Props bị thiếu hoặc dữ liệu rỗng. (2) Chưa thêm thuộc tính mặc định cho một số trường như hình ảnh hoặc giá vé.</t>
  </si>
  <si>
    <t>Đảm bảo Component có thể tái sử dụng với nhiều loại dữ liệu khác nhau.</t>
  </si>
  <si>
    <t>Xây dựng test case cho nhiều trường hợp dữ liệu trước khi hoàn thiện Component.</t>
  </si>
  <si>
    <t>Xây dựng EventList, render danh sách sự kiện bằng hàm map() và truyền dữ liệu xuống EventCard thông qua Props.</t>
  </si>
  <si>
    <t>ChatGPT giải thích cách sử dụng Props kết hợp với map() để hiển thị danh sách Component một cách hiệu quả.</t>
  </si>
  <si>
    <t>(1) Thiếu thuộc tính key khi render danh sách nên React hiển thị cảnh báo. (2) Chưa xử lý trường hợp danh sách dữ liệu rỗng.</t>
  </si>
  <si>
    <t>Quản lý dữ liệu khi render số lượng lớn Component.</t>
  </si>
  <si>
    <t>Bổ sung đầy đủ các trường hợp kiểm thử trước khi triển khai giao diện.</t>
  </si>
  <si>
    <t>Hoàn thiện việc truyền dữ liệu giữa Parent Component và Child Component, chuẩn hóa Props và cấu trúc dữ liệu.</t>
  </si>
  <si>
    <t>ChatGPT giải thích nguyên lý One-way Data Flow và hướng dẫn truyền Props giữa các Component.</t>
  </si>
  <si>
    <t>(1) Chưa giải thích rõ cách truyền callback function để Child Component gửi dữ liệu ngược lên Parent. (2) Một số ví dụ sử dụng Props chưa sát với cấu trúc thực tế của project.</t>
  </si>
  <si>
    <t>Thiết kế luồng dữ liệu hợp lý giữa nhiều Component mà không làm tăng sự phụ thuộc.</t>
  </si>
  <si>
    <t>Thiết kế sơ đồ luồng dữ liệu giữa các Component trước khi bắt đầu lập trình.</t>
  </si>
  <si>
    <t>Kiểm tra toàn bộ Component Communication, chuẩn hóa cách đặt tên Props và tổng hợp tài liệu của nhóm.</t>
  </si>
  <si>
    <t>ChatGPT hỗ trợ rà soát Props, phát hiện các trường hợp truyền dữ liệu dư thừa và đề xuất cách tối ưu mã nguồn.</t>
  </si>
  <si>
    <t>(1) Một số ví dụ đặt tên Props chưa thống nhất với coding convention của nhóm. (2) Chưa hướng dẫn cách tổ chức dữ liệu dùng chung giữa nhiều Component.</t>
  </si>
  <si>
    <t>Đồng bộ cách đặt tên Props và quy ước lập trình giữa các thành viên.</t>
  </si>
  <si>
    <t>Thống nhất coding convention và quy tắc đặt tên Props ngay từ đầu để tránh chỉnh sửa nhiều lần.</t>
  </si>
  <si>
    <t>FER202  |  Week 03  |  FPT University — Điền xong nhớ Ctrl+S để lưu!</t>
  </si>
  <si>
    <t>WEEK 04 — Nhật ký AI &amp; Project</t>
  </si>
  <si>
    <t>Hướng dẫn sử dụng useState để quản lý trạng thái danh sách sự kiện</t>
  </si>
  <si>
    <t>Tách state cho danh sách sự kiện và từ khóa tìm kiếm</t>
  </si>
  <si>
    <t>State cập nhật đúng khi nhập dữ liệu</t>
  </si>
  <si>
    <t>Xây dựng chức năng tìm kiếm bằng useState và onChange</t>
  </si>
  <si>
    <t>Chuẩn hóa hàm tìm kiếm, xử lý chữ hoa/chữ thường</t>
  </si>
  <si>
    <t>Tìm kiếm hoạt động chính xác</t>
  </si>
  <si>
    <t>Sinh Event Handler cho nút Book Now</t>
  </si>
  <si>
    <t>Điều chỉnh callback và tham số truyền vào</t>
  </si>
  <si>
    <t>Nút phản hồi đúng khi nhấn</t>
  </si>
  <si>
    <t>Hướng dẫn xử lý sự kiện onClick và quản lý Modal bằng useState</t>
  </si>
  <si>
    <t>src/components/LoginModal.jsx</t>
  </si>
  <si>
    <t>Chuẩn hóa state đóng/mở Modal</t>
  </si>
  <si>
    <t>Modal hoạt động đúng</t>
  </si>
  <si>
    <t>Tối ưu các Event Handler và loại bỏ state dư thừa</t>
  </si>
  <si>
    <t>Gom các state liên quan và đổi tên handler</t>
  </si>
  <si>
    <t>Mã nguồn gọn hơn, dễ bảo trì</t>
  </si>
  <si>
    <t>Hỗ trợ xử lý sự kiện Filter theo danh mục</t>
  </si>
  <si>
    <t>src/components/CategoryFilter.jsx</t>
  </si>
  <si>
    <t>Bổ sung cập nhật state khi chọn danh mục</t>
  </si>
  <si>
    <t>Bộ lọc hoạt động đúng</t>
  </si>
  <si>
    <t>Kiểm tra toàn bộ chức năng Event Handling và useState</t>
  </si>
  <si>
    <t>Chuẩn hóa tên state, event handler và rà soát code</t>
  </si>
  <si>
    <t>Project chạy ổn định, không còn lỗi React Console</t>
  </si>
  <si>
    <t>Thêm state quản lý danh sách sự kiện</t>
  </si>
  <si>
    <t>Sử dụng useState</t>
  </si>
  <si>
    <t>Thêm chức năng tìm kiếm theo tên sự kiện</t>
  </si>
  <si>
    <t>Cập nhật theo thời gian thực</t>
  </si>
  <si>
    <t>Thêm xử lý sự kiện Book Now</t>
  </si>
  <si>
    <t>Xử lý onClick</t>
  </si>
  <si>
    <t>Thêm Modal đăng nhập sử dụng useState</t>
  </si>
  <si>
    <t>Quản lý trạng thái đóng/mở</t>
  </si>
  <si>
    <t>Thêm state quản lý bộ lọc danh mục</t>
  </si>
  <si>
    <t>Chuẩn bị cho chức năng Filter</t>
  </si>
  <si>
    <t>Cập nhật EventCard xử lý sự kiện bằng callback</t>
  </si>
  <si>
    <t>Dễ mở rộng</t>
  </si>
  <si>
    <t>Chuẩn hóa tên các state và Event Handler</t>
  </si>
  <si>
    <t>Theo React Convention</t>
  </si>
  <si>
    <t>Cải thiện hiệu năng khi cập nhật state</t>
  </si>
  <si>
    <t>Tránh render không cần thiết</t>
  </si>
  <si>
    <t>Sửa lỗi state không cập nhật sau khi nhập tìm kiếm</t>
  </si>
  <si>
    <t>Kiểm tra useState</t>
  </si>
  <si>
    <t>Sửa lỗi onClick không truyền đúng tham số</t>
  </si>
  <si>
    <t>Button hoạt động đúng</t>
  </si>
  <si>
    <t>Sửa lỗi Modal không đóng sau khi Submit</t>
  </si>
  <si>
    <t>Kiểm tra state</t>
  </si>
  <si>
    <t>Explain how to use useState in React to manage search input and event list in an Event Ticket Booking System.</t>
  </si>
  <si>
    <t>AI hướng dẫn đúng cách dùng useState nhưng tạo quá nhiều state riêng lẻ làm code khó quản lý.</t>
  </si>
  <si>
    <t>Gộp các state liên quan và đặt tên theo React Convention để dễ bảo trì.</t>
  </si>
  <si>
    <t>Chạy thành công bằng npm run dev, state cập nhật đúng khi người dùng thao tác.</t>
  </si>
  <si>
    <t>Prompt #2  (B — GitHub Copilot)</t>
  </si>
  <si>
    <t>Create a React SearchBar component using useState and onChange event for filtering events.</t>
  </si>
  <si>
    <t>AI tạo SearchBar hoạt động nhưng chưa xử lý khoảng trắng và chữ hoa/chữ thường.</t>
  </si>
  <si>
    <t>Thêm trim() và chuyển dữ liệu về lowercase trước khi tìm kiếm.</t>
  </si>
  <si>
    <t>Chức năng tìm kiếm hoạt động chính xác với nhiều từ khóa khác nhau.</t>
  </si>
  <si>
    <t>Generate React onClick event handlers for EventCard booking button using useState.</t>
  </si>
  <si>
    <t>AI tạo hàm xử lý click nhưng chưa truyền đúng tham số của sự kiện.</t>
  </si>
  <si>
    <t>Điều chỉnh callback function và truyền đúng dữ liệu của sự kiện được chọn.</t>
  </si>
  <si>
    <t>Khi nhấn Book Now, dữ liệu được xử lý đúng và giao diện phản hồi chính xác.</t>
  </si>
  <si>
    <t>Prompt #4  (D — ChatGPT-4o)</t>
  </si>
  <si>
    <t>Explain how to control Modal visibility using React useState and event handlers.</t>
  </si>
  <si>
    <t>AI hướng dẫn đúng nhưng chưa xử lý việc reset Form sau khi đóng Modal.</t>
  </si>
  <si>
    <t>Bổ sung reset state sau khi Submit hoặc đóng Modal để tránh dữ liệu cũ còn hiển thị.</t>
  </si>
  <si>
    <t>Modal mở/đóng đúng trạng thái, dữ liệu được làm mới sau mỗi lần sử dụng.</t>
  </si>
  <si>
    <t>Xây dựng các state quản lý dữ liệu giao diện, tổ chức Event Handler và rà soát việc sử dụng useState trong toàn bộ project.</t>
  </si>
  <si>
    <t>ChatGPT giải thích vòng đời của state, cách sử dụng useState và cách tổ chức Event Handler giúp giảm thời gian tìm hiểu React.</t>
  </si>
  <si>
    <t>(1) AI đề xuất tạo quá nhiều state riêng lẻ thay vì nhóm các state liên quan. (2) Chưa giải thích rõ việc cập nhật state bất đồng bộ trong React.</t>
  </si>
  <si>
    <t>Xác định phạm vi quản lý state để tránh dư thừa và hạn chế render lại không cần thiết.</t>
  </si>
  <si>
    <t>Thiết kế sơ đồ quản lý state trước khi lập trình và thống nhất quy tắc đặt tên state trong nhóm.</t>
  </si>
  <si>
    <t>Xây dựng chức năng tìm kiếm sự kiện bằng useState và xử lý sự kiện onChange.</t>
  </si>
  <si>
    <t>ChatGPT hỗ trợ viết hàm tìm kiếm và giải thích cách cập nhật state theo dữ liệu nhập vào.</t>
  </si>
  <si>
    <t>(1) Chưa xử lý khoảng trắng đầu/cuối chuỗi tìm kiếm. (2) Chưa hỗ trợ tìm kiếm không phân biệt chữ hoa và chữ thường.</t>
  </si>
  <si>
    <t>Đồng bộ dữ liệu tìm kiếm với danh sách sự kiện hiển thị.</t>
  </si>
  <si>
    <t>Kiểm thử nhiều trường hợp dữ liệu trước khi hoàn thiện chức năng tìm kiếm.</t>
  </si>
  <si>
    <t>Hoàn thiện xử lý sự kiện onClick cho nút Book Now và các nút thao tác trên giao diện.</t>
  </si>
  <si>
    <t>GitHub Copilot hỗ trợ sinh Event Handler và callback function nhanh chóng.</t>
  </si>
  <si>
    <t>(1) Thiếu xử lý truyền tham số trong callback. (2) Chưa kiểm tra các trường hợp người dùng nhấn nhiều lần liên tiếp.</t>
  </si>
  <si>
    <t>Quản lý các sự kiện click giữa nhiều Component.</t>
  </si>
  <si>
    <t>Thiết kế luồng xử lý sự kiện rõ ràng trước khi triển khai.</t>
  </si>
  <si>
    <t>Xây dựng Modal và quản lý trạng thái đóng/mở bằng useState.</t>
  </si>
  <si>
    <t>ChatGPT hướng dẫn cách quản lý Modal và Form bằng useState.</t>
  </si>
  <si>
    <t>(1) Chưa hướng dẫn reset dữ liệu Form sau khi đóng Modal. (2) Chưa đề cập đến việc tách state cho từng trường nhập liệu.</t>
  </si>
  <si>
    <t>Đồng bộ trạng thái của Form và Modal sau các thao tác của người dùng.</t>
  </si>
  <si>
    <t>Thiết kế state cho Form ngay từ đầu để dễ mở rộng về sau.</t>
  </si>
  <si>
    <t>Kiểm tra việc sử dụng useState và Event Handler, chuẩn hóa mã nguồn của nhóm.</t>
  </si>
  <si>
    <t>ChatGPT hỗ trợ rà soát các state dư thừa và đề xuất tối ưu mã nguồn React.</t>
  </si>
  <si>
    <t>(1) Một số ví dụ chưa phù hợp với cấu trúc project thực tế. (2) Chưa hướng dẫn cách tách Event Handler để tái sử dụng.</t>
  </si>
  <si>
    <t>Đồng bộ cách đặt tên state và hàm xử lý sự kiện giữa các thành viên.</t>
  </si>
  <si>
    <t>Thống nhất coding convention và quy tắc đặt tên state, handler ngay từ đầu dự án.</t>
  </si>
  <si>
    <t>FER202  |  Week 04  |  FPT University — Điền xong nhớ Ctrl+S để lưu!</t>
  </si>
  <si>
    <t>WEEK 05 — Nhật ký AI &amp; Project</t>
  </si>
  <si>
    <t>Hướng dẫn tích hợp React-Bootstrap vào dự án</t>
  </si>
  <si>
    <t>src/main.jsx</t>
  </si>
  <si>
    <t>Cài đặt thư viện và import Bootstrap CSS</t>
  </si>
  <si>
    <t>React-Bootstrap hoạt động bình thường</t>
  </si>
  <si>
    <t>Thiết kế giao diện Home bằng React-Bootstrap</t>
  </si>
  <si>
    <t>Điều chỉnh Grid, Card và khoảng cách giữa các section</t>
  </si>
  <si>
    <t>Giao diện hiển thị đúng trên Desktop</t>
  </si>
  <si>
    <t>Tạo Navbar và Footer bằng React-Bootstrap</t>
  </si>
  <si>
    <t>Chỉnh Responsive và màu sắc</t>
  </si>
  <si>
    <t>Navbar hoạt động đúng trên Mobile</t>
  </si>
  <si>
    <t>Tùy biến Form và Button bằng Bootstrap</t>
  </si>
  <si>
    <t>src/components/Login.jsx</t>
  </si>
  <si>
    <t>Điều chỉnh CSS và Bootstrap Classes</t>
  </si>
  <si>
    <t>Form hiển thị đúng theo thiết kế</t>
  </si>
  <si>
    <t>Kiểm tra giao diện và tối ưu Bootstrap Components</t>
  </si>
  <si>
    <t>Chuẩn hóa các class Bootstrap</t>
  </si>
  <si>
    <t>Giao diện đồng nhất giữa các trang</t>
  </si>
  <si>
    <t>Hoàn thiện Card hiển thị sự kiện</t>
  </si>
  <si>
    <t>Điều chỉnh kích thước ảnh và Button</t>
  </si>
  <si>
    <t>Card hiển thị cân đối</t>
  </si>
  <si>
    <t>Rà soát giao diện và tối ưu React-Bootstrap</t>
  </si>
  <si>
    <t>Chuẩn hóa Layout và Responsive</t>
  </si>
  <si>
    <t>Thêm Bootstrap CSS</t>
  </si>
  <si>
    <t>Import Bootstrap</t>
  </si>
  <si>
    <t>Thiết kế Home Page bằng Bootstrap Grid</t>
  </si>
  <si>
    <t>Responsive Layout</t>
  </si>
  <si>
    <t>Xây dựng Navbar bằng React-Bootstrap</t>
  </si>
  <si>
    <t>Responsive Navigation</t>
  </si>
  <si>
    <t>Xây dựng Footer bằng React-Bootstrap</t>
  </si>
  <si>
    <t>Hiển thị thông tin website</t>
  </si>
  <si>
    <t>Tùy biến Form Login</t>
  </si>
  <si>
    <t>Bootstrap Form</t>
  </si>
  <si>
    <t>Tùy biến Button và Card</t>
  </si>
  <si>
    <t>Giao diện đồng bộ</t>
  </si>
  <si>
    <t>Điều chỉnh Bootstrap Grid cho Home</t>
  </si>
  <si>
    <t>Cải thiện Responsive</t>
  </si>
  <si>
    <t>Cập nhật Navbar trên Mobile</t>
  </si>
  <si>
    <t>Hiển thị đúng</t>
  </si>
  <si>
    <t>Chuẩn hóa màu sắc và Button</t>
  </si>
  <si>
    <t>Sửa lỗi Bootstrap CSS chưa được import</t>
  </si>
  <si>
    <t>Sửa lỗi Card bị lệch bố cục</t>
  </si>
  <si>
    <t>Căn chỉnh Bootstrap Grid</t>
  </si>
  <si>
    <t>Sửa lỗi Navbar Collapse trên Mobile</t>
  </si>
  <si>
    <t>Menu hoạt động đúng</t>
  </si>
  <si>
    <t>Prompt #1  (B — GitHub Copilot)</t>
  </si>
  <si>
    <t>Show me how to integrate React-Bootstrap into a React Vite project and build a responsive layout using Container, Row and Col.</t>
  </si>
  <si>
    <t>AI hướng dẫn đầy đủ cách cài đặt nhưng thiếu import Bootstrap CSS nên giao diện chưa hiển thị đúng.</t>
  </si>
  <si>
    <t>Bổ sung import bootstrap/dist/css/bootstrap.min.css trong main.jsx và điều chỉnh lại Layout.</t>
  </si>
  <si>
    <t>Chạy thành công bằng npm run dev, các Component Bootstrap hiển thị đúng.</t>
  </si>
  <si>
    <t>Prompt #2  (C — ChatGPT-4o)</t>
  </si>
  <si>
    <t>Create a responsive homepage using React-Bootstrap Cards, Grid and Navbar for an Event Ticket Booking website.</t>
  </si>
  <si>
    <t>AI tạo giao diện hoàn chỉnh nhưng khoảng cách giữa các Card chưa cân đối trên màn hình nhỏ.</t>
  </si>
  <si>
    <t>Điều chỉnh Bootstrap Grid, thêm g-4 và thay đổi kích thước Card.</t>
  </si>
  <si>
    <t>Giao diện hiển thị tốt trên Desktop và Mobile.</t>
  </si>
  <si>
    <t>Prompt #3  (D — GitHub Copilot)</t>
  </si>
  <si>
    <t>Generate a responsive Navbar and Footer using React-Bootstrap.</t>
  </si>
  <si>
    <t>AI sinh Navbar đúng nhưng chưa tối ưu Menu Collapse trên thiết bị di động.</t>
  </si>
  <si>
    <t>Điều chỉnh Navbar Toggle và bổ sung Responsive Classes.</t>
  </si>
  <si>
    <t>Navbar hoạt động ổn định trên nhiều kích thước màn hình.</t>
  </si>
  <si>
    <t>Explain how to customize React-Bootstrap components using CSS without affecting other components.</t>
  </si>
  <si>
    <t>AI hướng dẫn ghi đè CSS nhưng chưa đề xuất cách tổ chức file CSS theo từng Component.</t>
  </si>
  <si>
    <t>Tách CSS theo từng Component và sử dụng class riêng để tránh xung đột.</t>
  </si>
  <si>
    <t>Giao diện đồng nhất và không xảy ra lỗi ghi đè CSS.</t>
  </si>
  <si>
    <t>Tích hợp React-Bootstrap vào dự án, xây dựng Layout chung và chuẩn hóa giao diện giữa các trang bằng các component như Container, Row, Col và Navbar.</t>
  </si>
  <si>
    <t>ChatGPT hướng dẫn cài đặt React-Bootstrap, cách sử dụng Grid System và các component để xây dựng giao diện responsive nhanh hơn.</t>
  </si>
  <si>
    <t>(1) AI đề xuất sử dụng một số component chưa phù hợp với thiết kế của nhóm. (2) Chưa hướng dẫn chi tiết cách tùy biến giao diện bằng CSS khi kết hợp React-Bootstrap.</t>
  </si>
  <si>
    <t>Đồng bộ bố cục và giao diện giữa các trang khi sử dụng nhiều Bootstrap Component.</t>
  </si>
  <si>
    <t>Thiết kế bộ giao diện và quy chuẩn component trước khi bắt đầu lập trình.</t>
  </si>
  <si>
    <t>Xây dựng giao diện Trang chủ bằng React-Bootstrap, sử dụng Card, Container và Grid để hiển thị danh sách sự kiện.</t>
  </si>
  <si>
    <t>ChatGPT hỗ trợ tạo nhanh bố cục giao diện bằng Bootstrap Grid và Card, giúp giảm thời gian thiết kế.</t>
  </si>
  <si>
    <t>(1) Khoảng cách giữa các Card chưa hợp lý trên màn hình nhỏ. (2) Một số class Bootstrap chưa phù hợp với giao diện mong muốn.</t>
  </si>
  <si>
    <t>Điều chỉnh giao diện responsive để hiển thị tốt trên nhiều kích thước màn hình.</t>
  </si>
  <si>
    <t>Thiết kế giao diện trên nhiều thiết bị trước khi triển khai code.</t>
  </si>
  <si>
    <t>Hoàn thiện Navbar, Footer và các thành phần giao diện bằng React-Bootstrap, đồng thời tùy chỉnh màu sắc theo giao diện của dự án.</t>
  </si>
  <si>
    <t>GitHub Copilot hỗ trợ sinh nhanh JSX cho Navbar và Footer, ChatGPT gợi ý cách sử dụng Bootstrap Components phù hợp.</t>
  </si>
  <si>
    <t>(1) Navbar trên thiết bị di động chưa hiển thị tối ưu. (2) Một số component chưa đồng nhất về khoảng cách và màu sắc.</t>
  </si>
  <si>
    <t>Đảm bảo tính đồng nhất của giao diện trên toàn bộ website.</t>
  </si>
  <si>
    <t>Xây dựng quy chuẩn màu sắc, font chữ và khoảng cách ngay từ đầu dự án.</t>
  </si>
  <si>
    <t>s</t>
  </si>
  <si>
    <t>Kiểm tra giao diện sau khi tích hợp React-Bootstrap, chuẩn hóa các component và tổng hợp tài liệu của nhóm.</t>
  </si>
  <si>
    <t>ChatGPT hỗ trợ rà soát giao diện, đề xuất cải thiện bố cục và tối ưu khả năng hiển thị trên các thiết bị khác nhau.</t>
  </si>
  <si>
    <t>(1) Một số ví dụ AI đưa ra chưa phù hợp với cấu trúc giao diện của dự án. (2) Chưa đề xuất đầy đủ các component Bootstrap phù hợp cho từng chức năng.</t>
  </si>
  <si>
    <t>Đồng bộ giao diện giữa các thành viên và đảm bảo tính nhất quán trong toàn bộ dự án.</t>
  </si>
  <si>
    <t>Thống nhất Design System và bộ component dùng chung ngay từ đầu để giảm thời gian chỉnh sửa sau này.</t>
  </si>
  <si>
    <t>FER202  |  Week 05  |  FPT University — Điền xong nhớ Ctrl+S để lưu!</t>
  </si>
  <si>
    <t>WEEK 06 — Nhật ký AI &amp; Project</t>
  </si>
  <si>
    <t>ChatGPT-4o</t>
  </si>
  <si>
    <t>Cấu hình BrowserRouter + khai báo 6 route trong App.jsx</t>
  </si>
  <si>
    <t>App.jsx</t>
  </si>
  <si>
    <t>Sắp xếp route cụ thể (/movies/:id) trước route catch-all (/*)</t>
  </si>
  <si>
    <t>Điều hướng 6 trang không reload, không rơi nhầm 404</t>
  </si>
  <si>
    <t>Dựng khung các trang HomePage, MovieListPage, MovieDetailPage, BookingPage, NotFoundPage</t>
  </si>
  <si>
    <t>src/pages/</t>
  </si>
  <si>
    <t>Chuyển setState/gọi API vào trong useEffect thay vì gọi trực tiếp trong component</t>
  </si>
  <si>
    <t>Hết warning Maximum update depth, danh sách phim load đúng</t>
  </si>
  <si>
    <t>Claude</t>
  </si>
  <si>
    <t>MovieDetailPage dùng useParams() đọc :id + nút Quay lại bằng useNavigate(-1)</t>
  </si>
  <si>
    <t>MovieDetailPage.jsx</t>
  </si>
  <si>
    <t>Thêm id vào dependency array của useEffect để re-fetch khi đổi phim</t>
  </si>
  <si>
    <t>Test nhiều id phim khác nhau, dữ liệu hiển thị đúng</t>
  </si>
  <si>
    <t>Viết ProtectedRoute.jsx kiểm tra đăng nhập trước khi vào /admin</t>
  </si>
  <si>
    <t>ProtectedRoute.jsx, AuthContext.jsx</t>
  </si>
  <si>
    <t>Thêm trạng thái loading trong AuthContext để tránh redirect nhầm khi chưa xác thực xong</t>
  </si>
  <si>
    <t>Test bằng tab ẩn danh vào /admin, bị redirect đúng về /</t>
  </si>
  <si>
    <t>Cập nhật Header dùng NavLink thay &lt;a&gt;, xử lý highlight link đang active</t>
  </si>
  <si>
    <t>Header.jsx</t>
  </si>
  <si>
    <t>Dùng useLocation() + startsWith("/movies") để giữ active cho route cha (đang thử nghiệm)</t>
  </si>
  <si>
    <t>Active đúng ở route chính; route con /movies/:id vẫn đang kiểm tra</t>
  </si>
  <si>
    <t>Debug route /movies/:id luôn rơi vào 404 dù URL đúng</t>
  </si>
  <si>
    <t>Phát hiện route catch-all (/*) khai báo trước route động, sắp lại thứ tự khai báo</t>
  </si>
  <si>
    <t>Truy cập /movies/3 hiển thị đúng, không còn rơi vào 404</t>
  </si>
  <si>
    <t>React Router: bọc App trong BrowserRouter, khai báo 6 route (/, /movies, /movies/:id, /booking/:movieId, /admin, /*)</t>
  </si>
  <si>
    <t>Tạo các trang HomePage, MovieListPage, MovieDetailPage, BookingPage, NotFoundPage</t>
  </si>
  <si>
    <t>ProtectedRoute.jsx — kiểm tra đăng nhập trước khi cho vào /admin</t>
  </si>
  <si>
    <t>src/components/ProtectedRoute.jsx</t>
  </si>
  <si>
    <t>Header chuyển sang dùng NavLink thay cho &lt;a&gt;, highlight đúng link đang active</t>
  </si>
  <si>
    <t>MovieDetailPage thêm nút "Quay lại" dùng useNavigate(-1)</t>
  </si>
  <si>
    <t>src/pages/MovieDetailPage.jsx</t>
  </si>
  <si>
    <t>Sửa route /movies/:id luôn rơi vào 404 — route catch-all (/*) khai báo trước route động, đã sắp route cụ thể lên trước</t>
  </si>
  <si>
    <t>Đã fix</t>
  </si>
  <si>
    <t>Sửa MovieDetailPage hiển thị dữ liệu phim cũ khi đổi id — thêm id vào dependency array của useEffect</t>
  </si>
  <si>
    <t>Sửa lỗi "Maximum update depth exceeded" ở MovieListPage — chuyển setState vào trong useEffect</t>
  </si>
  <si>
    <t>src/pages/MovieListPage.jsx</t>
  </si>
  <si>
    <t>Sửa ProtectedRoute cho vào /admin trong tích tắc trước khi bị đẩy ra — thêm trạng thái loading trong AuthContext</t>
  </si>
  <si>
    <t>src/components/ProtectedRoute.jsx, AuthContext.jsx</t>
  </si>
  <si>
    <t>NavLink "Phim" không highlight active khi ở route con /movies/:id — đang thử dùng useLocation() + startsWith("/movies")</t>
  </si>
  <si>
    <t>Chưa fix</t>
  </si>
  <si>
    <t>components/</t>
  </si>
  <si>
    <t>Prompt #1  (A — ChatGPT-4o)</t>
  </si>
  <si>
    <t>Cấu hình react-router-dom v6 cho app đặt vé xem phim D-Cinema: /, /movies, /movies/:id, /booking/:movieId, /admin (cần đăng nhập), 404.</t>
  </si>
  <si>
    <t>AI đặt route catch-all (path="*") lên trước route động /movies/:id trong ví dụ mẫu — chạy thử bị rơi nhầm vào trang 404.</t>
  </si>
  <si>
    <t>Sắp xếp lại thứ tự khai báo: đưa các route cụ thể/động lên trước, route catch-all (/*) xuống cuối cùng trong &lt;Routes&gt;.</t>
  </si>
  <si>
    <t>Truy cập /movies/3 hiển thị đúng trang chi tiết phim; URL sai vẫn rơi đúng vào NotFoundPage.</t>
  </si>
  <si>
    <t>Trang chi tiết phim MovieDetailPage: lấy :id từ URL bằng useParams, gọi API lấy thông tin phim tương ứng, thêm nút Quay lại.</t>
  </si>
  <si>
    <t>AI để dependency array rỗng ([]) trong useEffect gọi API — khi người dùng đổi từ phim này sang phim khác, dữ liệu không fetch lại, vẫn hiển thị phim cũ.</t>
  </si>
  <si>
    <t>Thêm id (lấy từ useParams()) vào dependency array của useEffect để re-fetch dữ liệu mỗi khi tham số route thay đổi.</t>
  </si>
  <si>
    <t>Chuyển từ /movies/1 sang /movies/2, thông tin phim cập nhật đúng theo id mới.</t>
  </si>
  <si>
    <t>Prompt #3  (D — Claude)</t>
  </si>
  <si>
    <t>Viết ProtectedRoute cho react-router v6: chưa đăng nhập thì không cho vào /admin, redirect về trang chủ.</t>
  </si>
  <si>
    <t>Copilot kiểm tra token ngay khi component mount, không đợi AuthContext load xong — có lúc người dùng vẫn thấy nội dung /admin trong tích tắc trước khi bị đẩy ra.</t>
  </si>
  <si>
    <t>Thêm trạng thái loading trong AuthContext; ProtectedRoute chỉ quyết định redirect sau khi xác thực hoàn tất.</t>
  </si>
  <si>
    <t>Test bằng tab ẩn danh truy cập /admin — không còn thấy nội dung trang dù trong chớp nhoáng, redirect về / ngay lập tức.</t>
  </si>
  <si>
    <t>Prompt #4  (B — ChatGPT-4o)</t>
  </si>
  <si>
    <t>Dùng NavLink cho Header trong app D-Cinema — làm sao để link "Phim" vẫn sáng (active) khi đang ở trang chi tiết phim /movies/:id?</t>
  </si>
  <si>
    <t>AI chỉ gợi ý dùng NavLink mặc định, không xử lý được trường hợp route con — link "Phim" tắt active ngay khi vào /movies/:id.</t>
  </si>
  <si>
    <t>Đang thử dùng useLocation() kết hợp startsWith("/movies") để tự gắn class active cho route cha (chưa xong hoàn toàn).</t>
  </si>
  <si>
    <t>Route chính /movies đã active đúng; route con /movies/:id vẫn đang kiểm tra — ghi nhận là lỗi "Chưa fix" trong Bảng lỗi kỹ thuật.</t>
  </si>
  <si>
    <t>Bọc App trong BrowserRouter, khai báo 6 route trong App.jsx; sắp xếp lại thứ tự route để tránh route catch-all (/*) khớp nhầm trước route động.</t>
  </si>
  <si>
    <t>ChatGPT-4o dựng khung BrowserRouter + khai báo 6 route rất nhanh, giúp nhóm có bộ khung điều hướng chỉ trong một buổi.</t>
  </si>
  <si>
    <t>(1) AI đặt route catch-all (path="*") lên trước route động /movies/:id trong ví dụ mẫu, khiến chạy thử bị rơi nhầm vào 404. (2) AI không nhắc đến khái niệm nested route/Outlet, khiến nhóm khai báo toàn bộ route ở dạng phẳng thay vì phân cấp cha-con.</t>
  </si>
  <si>
    <t>Phân biệt thứ tự ưu tiên khớp route giữa route tĩnh, route động và route catch-all trong cùng một &lt;Routes&gt;.</t>
  </si>
  <si>
    <t>Luôn yêu cầu AI giải thích rõ thứ tự khớp route trước khi copy code, và tìm hiểu thêm về nested route/Outlet trước khi bắt tay code.</t>
  </si>
  <si>
    <t>Viết ProtectedRoute.jsx, test redirect về / khi chưa đăng nhập truy cập /admin; thêm trạng thái loading trong AuthContext để tránh redirect nhầm.</t>
  </si>
  <si>
    <t>GitHub Copilot sinh nhanh khung ProtectedRoute theo pattern Navigate quen thuộc, tiết kiệm thời gian viết từ đầu.</t>
  </si>
  <si>
    <t>(1) Copilot kiểm tra token ngay khi component mount mà không đợi AuthContext load xong, khiến có lúc vẫn thấy nội dung /admin trong tích tắc trước khi bị đẩy ra. (2) Không cảnh báo cần thêm trạng thái loading để tránh race condition giữa xác thực và render.</t>
  </si>
  <si>
    <t>Debug lỗi "flash" nội dung /admin rất khó tái hiện vì xảy ra quá nhanh, phải dùng React DevTools Profiler để bắt đúng thời điểm.</t>
  </si>
  <si>
    <t>Hỏi AI thêm về race condition giữa async auth check và render, thay vì chỉ nhận code chạy được là xong.</t>
  </si>
  <si>
    <t>Tạo các trang HomePage, MovieListPage, MovieDetailPage, BookingPage, NotFoundPage; sửa lỗi "Maximum update depth exceeded" ở MovieListPage.</t>
  </si>
  <si>
    <t>ChatGPT-4o dựng khung nhanh 5 trang (HomePage, MovieListPage, MovieDetailPage, BookingPage, NotFoundPage), giúp nhóm bắt đầu song song sớm.</t>
  </si>
  <si>
    <t>(1) AI gợi ý gọi setState trực tiếp trong thân component (ngoài useEffect) ở MovieListPage, gây warning "Maximum update depth exceeded". (2) Không tách rõ trách nhiệm gọi API và render, khiến code lẫn lộn logic.</t>
  </si>
  <si>
    <t>Đọc hiểu thông báo lỗi "Maximum update depth exceeded" và xác định đúng nguyên nhân gốc (re-render vòng lặp) mất khá nhiều thời gian.</t>
  </si>
  <si>
    <t>Luôn hỏi AI rõ "code này có gây re-render vòng lặp không" trước khi ghép vào dự án.</t>
  </si>
  <si>
    <t>Triển khai useParams() trong MovieDetailPage để đọc :id; thêm nút "Quay lại" bằng useNavigate(-1); sửa lỗi hiển thị dữ liệu phim cũ khi đổi id.</t>
  </si>
  <si>
    <t>Claude giải thích rõ cách dùng useParams() và pattern useNavigate(-1), giúp nắm nhanh cách đọc tham số động từ URL.</t>
  </si>
  <si>
    <t>(1) Claude để dependency array rỗng trong useEffect gọi API, khiến dữ liệu phim cũ không refetch khi đổi phim. (2) Không nhắc trường hợp id không tồn tại hoặc không phải số, dễ gây lỗi khi test URL sai.</t>
  </si>
  <si>
    <t>Debug lỗi hiển thị "phim cũ" dù URL đã đổi đúng id mới — ban đầu tưởng lỗi ở API chứ không nghĩ do dependency array.</t>
  </si>
  <si>
    <t>Luôn kiểm tra kỹ dependency array của mọi useEffect liên quan route param trước khi xem là xong việc.</t>
  </si>
  <si>
    <t>Cập nhật Header dùng NavLink thay cho &lt;a&gt;, xử lý highlight link đang active cho route cha bằng useLocation() + startsWith().</t>
  </si>
  <si>
    <t>ChatGPT-4o hướng dẫn chuyển từ thẻ &lt;a&gt; sang NavLink nhanh, nắm được cách NavLink tự thêm class active.</t>
  </si>
  <si>
    <t>(1) AI chỉ đưa ra cách dùng NavLink mặc định, không xử lý được trường hợp route con (/movies/:id) khiến link "Phim" tắt active khi vào trang chi tiết phim. (2) Không đề cập giải pháp useLocation()/startsWith() cho route cha, nhóm phải tự tìm hiểu thêm.</t>
  </si>
  <si>
    <t>Xử lý bug này chưa xong tính đến cuối tuần 06, vẫn đang thử nghiệm nên chưa chắc giải pháp cuối cùng.</t>
  </si>
  <si>
    <t>Hỏi AI ngay từ đầu về cách xử lý active state cho route cha có route con, thay vì áp dụng NavLink mặc định rồi mới phát hiện thiếu sót.</t>
  </si>
  <si>
    <t>FER202  |  Week 06  |  FPT University — Điền xong nhớ Ctrl+S để lưu!</t>
  </si>
  <si>
    <t>WEEK 07 — Nhật ký AI &amp; Project</t>
  </si>
  <si>
    <t>Thiết kế CartContext.jsx: createContext + CartProvider + custom hook useCart()</t>
  </si>
  <si>
    <t>src/context/CartContext.jsx</t>
  </si>
  <si>
    <t>Bọc value bằng useMemo, thêm throw Error khi useCart gọi ngoài Provider</t>
  </si>
  <si>
    <t>Header, BookCard đọc/ghi giỏ vé đồng bộ</t>
  </si>
  <si>
    <t>Bọc App trong CartProvider tại main.jsx, refactor Header + BookCard dùng useCart()</t>
  </si>
  <si>
    <t>src/main.jsx, components/</t>
  </si>
  <si>
    <t>Nâng CartProvider lên bọc toàn bộ &lt;App /&gt;, bỏ props cart truyền 3 cấp</t>
  </si>
  <si>
    <t>Hết lỗi "useCart must be used within a CartProvider"</t>
  </si>
  <si>
    <t>useEffect fetch dữ liệu mock phim khi component mount (dependency array = [])</t>
  </si>
  <si>
    <t>src/pages/BookListPage.jsx</t>
  </si>
  <si>
    <t>Bổ sung dependency array rỗng [] để chỉ fetch 1 lần khi mount</t>
  </si>
  <si>
    <t>Console không còn log lặp vô hạn</t>
  </si>
  <si>
    <t>useEffect cập nhật document.title theo totalItems trong giỏ vé, có cleanup</t>
  </si>
  <si>
    <t>Thêm return () =&gt; { document.title = "D-Cinema"; } để reset khi unmount</t>
  </si>
  <si>
    <t>Chuyển trang nhanh, title reset đúng</t>
  </si>
  <si>
    <t>useRef auto-focus ô tìm kiếm sau khi dữ liệu tải xong, không gây re-render</t>
  </si>
  <si>
    <t>Chuyển focus() vào useEffect có deps là trạng thái loading</t>
  </si>
  <si>
    <t>Focus đúng thời điểm khi mạng bình thường</t>
  </si>
  <si>
    <t>Tạo ThemeContext.jsx: toggle dark/light và lưu lựa chọn vào localStorage</t>
  </si>
  <si>
    <t>src/context/ThemeContext.jsx</t>
  </si>
  <si>
    <t>Đọc theme từ localStorage ngay trong giá trị khởi tạo của useState</t>
  </si>
  <si>
    <t>F5 trang — theme dark được giữ nguyên</t>
  </si>
  <si>
    <t>Giải thích dependency array của useEffect: [], [x], không truyền — khác gì</t>
  </si>
  <si>
    <t>docs/Notes_Week7.md</t>
  </si>
  <si>
    <t>Bổ sung bảng so sánh 3 hook useEffect/useContext/useRef cho mục 3.2 báo cáo</t>
  </si>
  <si>
    <t>Đối chiếu react.dev, cả nhóm review OK</t>
  </si>
  <si>
    <t>Tìm cách chờ DOM render xong trước khi gọi focus() khi mạng chậm</t>
  </si>
  <si>
    <t>Thử thêm điều kiện loading === false, vẫn chưa ổn định khi mạng rất chậm</t>
  </si>
  <si>
    <t>Chưa fix — còn miss focus ở mạng chậm</t>
  </si>
  <si>
    <t>Thêm CartContext.jsx + CartProvider + custom hook useCart() quản lý giỏ vé toàn app</t>
  </si>
  <si>
    <t>Bỏ prop drilling qua 3 cấp</t>
  </si>
  <si>
    <t>Thêm ThemeContext.jsx: toggle dark/light, lưu lựa chọn vào localStorage</t>
  </si>
  <si>
    <t>Giữ nguyên sau khi F5</t>
  </si>
  <si>
    <t>Thêm useRef auto-focus ô tìm kiếm sau khi dữ liệu phim tải xong</t>
  </si>
  <si>
    <t>Bọc &lt;App /&gt; trong CartProvider tại main.jsx; refactor Header và BookCard dùng useCart()</t>
  </si>
  <si>
    <t>Code gọn hơn ~40%</t>
  </si>
  <si>
    <t>document.title đổi động theo totalItems trong giỏ vé, có cleanup khi unmount</t>
  </si>
  <si>
    <t>useEffect fetch dữ liệu mock phim chỉ chạy 1 lần khi mount (deps = [])</t>
  </si>
  <si>
    <t>Sửa lỗi "useCart must be used within a CartProvider" — nâng Provider lên main.jsx</t>
  </si>
  <si>
    <t>Sửa fetch dữ liệu mock gọi lặp vô hạn — bổ sung dependency array rỗng []</t>
  </si>
  <si>
    <t>Sửa theme dark bị mất sau F5 — đọc localStorage trong giá trị khởi tạo useState</t>
  </si>
  <si>
    <t>Bỏ chuỗi props cart truyền qua 3 cấp component (đã thay bằng Context)</t>
  </si>
  <si>
    <t>Thay bằng useCart()</t>
  </si>
  <si>
    <t>Tạo CartContext cho app bán vé xem phim D-Cinema: createContext, CartProvider giữ state giỏ vé và các hàm addToCart, removeFromCart, giá trị totalItems; kèm custom hook useCart() để component con dùng mà không cần truyền props.</t>
  </si>
  <si>
    <t>Code đúng pattern createContext + Provider, nhưng value truyền vào Provider tạo object mới mỗi lần render (không useMemo) gây re-render toàn cây; useCart không báo lỗi khi gọi ngoài Provider.</t>
  </si>
  <si>
    <t>Bọc value bằng useMemo; thêm throw new Error("useCart must be used within a CartProvider") trong hook để lỗi lộ ra sớm.</t>
  </si>
  <si>
    <t>Header badge, BookCard và trang giỏ vé đồng bộ qua Context; React DevTools không thấy re-render thừa</t>
  </si>
  <si>
    <t>Trong BookListPage.jsx, dùng useEffect fetch dữ liệu phim mock khi component mount. Thêm state loading và error. Chỉ gọi đúng một lần khi trang load.</t>
  </si>
  <si>
    <t>Copilot sinh useEffect đúng nhưng quên dependency array nên effect chạy lại sau mỗi lần re-render — console log lặp vô hạn và API bị gọi liên tục.</t>
  </si>
  <si>
    <t>Bổ sung dependency array rỗng [] để effect chỉ chạy khi mount; kiểm tra lại bằng Network tab.</t>
  </si>
  <si>
    <t>Network tab chỉ còn 1 request, console không còn log lặp</t>
  </si>
  <si>
    <t>Dùng useEffect đổi document.title theo số lượng vé trong giỏ (ví dụ "D-Cinema (3)"). Có cần cleanup function không, viết giúp mình phần cleanup.</t>
  </si>
  <si>
    <t>Code chính đúng, giải thích cleanup hợp lý; nhưng ví dụ đầu tiên không có return nên khi chuyển sang trang khác title vẫn giữ số lượng cũ.</t>
  </si>
  <si>
    <t>Thêm return () =&gt; { document.title = "D-Cinema"; } để reset title khi component unmount; test bằng cách chuyển trang nhanh liên tục.</t>
  </si>
  <si>
    <t>Chuyển trang nhanh, title được reset đúng về "D-Cinema"</t>
  </si>
  <si>
    <t>Prompt #4  (C — ChatGPT-4o)</t>
  </si>
  <si>
    <t>Tạo ThemeContext cho React: toggle giữa dark và light mode, lưu lựa chọn vào localStorage để giữ nguyên sau khi reload trang. Giải thích vì sao nên đọc localStorage ở giá trị khởi tạo.</t>
  </si>
  <si>
    <t>AI sinh Context đúng, nhưng khởi tạo useState("light") rồi mới đọc localStorage trong useEffect — dẫn tới nháy giao diện sáng một nhịp trước khi đổi sang dark sau F5.</t>
  </si>
  <si>
    <t>Đọc localStorage ngay trong giá trị khởi tạo useState (lazy init), đồng thời lưu lại mỗi khi theme đổi bằng useEffect.</t>
  </si>
  <si>
    <t>F5 trang nhiều lần — theme dark giữ nguyên, không còn nháy sáng</t>
  </si>
  <si>
    <t>Tạo ThemeContext.jsx toggle dark/light và đồng bộ với localStorage; tổng hợp bảng so sánh 3 hook cho mục 3.2 báo cáo.</t>
  </si>
  <si>
    <t>ChatGPT-4o dựng nhanh Context pattern chuẩn; Claude tổng hợp bảng so sánh useEffect/useContext/useRef dễ hiểu.</t>
  </si>
  <si>
    <t>(1) AI khởi tạo useState("light") rồi mới đọc localStorage trong useEffect — gây nháy giao diện sau F5. (2) Bảng so sánh của AI không nhắc trường hợp object/array trong dependency array gây re-render thừa.</t>
  </si>
  <si>
    <t>Đồng bộ theme giữa nhiều component mà không làm nháy giao diện lúc tải trang.</t>
  </si>
  <si>
    <t>Yêu cầu AI nêu cả vấn đề hiệu năng và trải nghiệm, không chỉ tính đúng của code.</t>
  </si>
  <si>
    <t>Xây CartContext.jsx với createContext, CartProvider và custom hook useCart(); thêm useRef auto-focus ô tìm kiếm.</t>
  </si>
  <si>
    <t>ChatGPT-4o dựng Context pattern nhanh, Claude giải thích rõ vì sao useRef không gây re-render như useState.</t>
  </si>
  <si>
    <t>(1) Value của Provider tạo object mới mỗi render, không bọc useMemo — re-render toàn cây. (2) AI gợi ý gọi focus() ngay khi mount, chạy trước khi dữ liệu render xong nên focus không có tác dụng.</t>
  </si>
  <si>
    <t>Chứng minh re-render thừa bằng React DevTools Profiler; và xử lý focus khi mạng chậm vẫn chưa triệt để.</t>
  </si>
  <si>
    <t>Hỏi AI kèm ràng buộc thời điểm ("chỉ chạy sau khi data render xong") thay vì chỉ mô tả kết quả mong muốn.</t>
  </si>
  <si>
    <t>Bọc App trong CartProvider tại main.jsx và refactor Header, BookCard sang dùng useCart() thay props.</t>
  </si>
  <si>
    <t>Copilot sinh nhanh phần refactor component; ChatGPT giải thích phạm vi (scope) của Context trong cây component.</t>
  </si>
  <si>
    <t>(1) AI đặt CartProvider bọc 1 route thay vì bọc toàn bộ App — Header nằm ngoài phạm vi Context nên crash. (2) Không cảnh báo phải xoá props cũ, dẫn tới component nhận cả props lẫn context gây nhầm lẫn.</t>
  </si>
  <si>
    <t>Refactor 3 cấp props mà không làm gãy tính năng giỏ vé đang chạy.</t>
  </si>
  <si>
    <t>Refactor từng component một và chạy thử ngay sau mỗi bước thay vì đổi hàng loạt.</t>
  </si>
  <si>
    <t>Viết useEffect cập nhật document.title theo totalItems trong giỏ vé, kèm cleanup function reset title.</t>
  </si>
  <si>
    <t>ChatGPT-4o giải thích vòng đời của useEffect và vai trò của hàm return rất dễ hiểu, áp dụng được ngay.</t>
  </si>
  <si>
    <t>(1) Ví dụ đầu tiên của AI không có cleanup nên title giữ số cũ khi chuyển trang. (2) AI không nhắc trường hợp chuyển trang nhanh liên tục khiến cleanup chạy không đúng thời điểm.</t>
  </si>
  <si>
    <t>Kiểm chứng cleanup chạy đúng lúc khi người dùng chuyển trang rất nhanh.</t>
  </si>
  <si>
    <t>Hỏi thêm "trường hợp nào cleanup chạy sai thời điểm" ngay trong prompt đầu tiên.</t>
  </si>
  <si>
    <t>Viết useEffect fetch dữ liệu mock khi component mount với dependency array rỗng; hỗ trợ xử lý lỗi focus khi mạng chậm.</t>
  </si>
  <si>
    <t>Copilot sinh khung fetch trong useEffect rất nhanh; ChatGPT giúp hiểu vì sao thiếu deps lại gây vòng lặp vô hạn.</t>
  </si>
  <si>
    <t>(1) Copilot quên dependency array khiến effect chạy lại sau mỗi render — fetch lặp vô hạn. (2) AI không gợi ý cách chờ DOM render xong trước khi focus, nên lỗi mạng chậm vẫn chưa xử lý được.</t>
  </si>
  <si>
    <t>Ô tìm kiếm vẫn thỉnh thoảng không tự focus khi mạng chậm — chưa fix xong trong tuần này.</t>
  </si>
  <si>
    <t>Luôn mở Network tab kiểm tra số request ngay sau khi viết xong một useEffect.</t>
  </si>
  <si>
    <t>FER202  |  Week 07  |  FPT University — Điền xong nhớ Ctrl+S để lưu!</t>
  </si>
  <si>
    <t>WEEK 08 — Nhật ký AI &amp; Project</t>
  </si>
  <si>
    <t>Thiết kế Axios instance dùng chung (axiosClient.js) trỏ tới json-server</t>
  </si>
  <si>
    <t>src/services/axiosClient.js</t>
  </si>
  <si>
    <t>Đưa baseURL vào biến env, set header Content-Type: application/json</t>
  </si>
  <si>
    <t>npx json-server --watch db.json --port 3001 chạy OK</t>
  </si>
  <si>
    <t>Sinh movieService.js: getMovies, getMovieById, createMovie, updateMovie, deleteMovie</t>
  </si>
  <si>
    <t>src/services/movieService.js</t>
  </si>
  <si>
    <t>Chuyển .then() sang async/await, bỏ try/catch nuốt lỗi trong service</t>
  </si>
  <si>
    <t>Test 5 hàm CRUD bằng Postman + UI đều đúng</t>
  </si>
  <si>
    <t>Thay dữ liệu hardcode bằng useEffect + getMovies() trong MovieListPage</t>
  </si>
  <si>
    <t>Thêm state loading/error, bỏ mảng phim hardcode</t>
  </si>
  <si>
    <t>Danh sách phim load đúng từ /movies</t>
  </si>
  <si>
    <t>Cấu hình db.json cho json-server: endpoint /movies, /showtimes</t>
  </si>
  <si>
    <t>db.json</t>
  </si>
  <si>
    <t>Đổi price sang number, bổ sung field showtimes theo movieId</t>
  </si>
  <si>
    <t>GET /movies và /showtimes trả đúng dữ liệu</t>
  </si>
  <si>
    <t>Xây dựng Admin MovieManagePage.jsx: bảng CRUD + Modal thêm/sửa + confirm xoá</t>
  </si>
  <si>
    <t>src/pages/admin/MovieManagePage.jsx</t>
  </si>
  <si>
    <t>Dùng 1 Modal chung cho Add/Edit (props mode), thêm confirm trước khi deleteMovie</t>
  </si>
  <si>
    <t>Thêm/sửa/xoá phim đồng bộ ngay với db.json</t>
  </si>
  <si>
    <t>Hiển thị Spinner khi loading và Alert khi API lỗi</t>
  </si>
  <si>
    <t>Chuyển set loading vào finally thay vì lặp ở then/catch</t>
  </si>
  <si>
    <t>Tắt json-server → hiện Alert, không crash trang</t>
  </si>
  <si>
    <t>Lập checklist test luồng CRUD phim và cách verify db.json sau thao tác</t>
  </si>
  <si>
    <t>docs/week08-test-checklist.md</t>
  </si>
  <si>
    <t>Bổ sung case xoá phim đang có suất chiếu, case tạo phim thiếu field</t>
  </si>
  <si>
    <t>Chạy 8/10 case, còn 2 case edge chưa test xong</t>
  </si>
  <si>
    <t>Viết tài liệu API endpoints (method, URL, request body, response)</t>
  </si>
  <si>
    <t>docs/week08-api-endpoints.md</t>
  </si>
  <si>
    <t>Bổ sung mã lỗi 404/500 và ví dụ response thực tế từ json-server</t>
  </si>
  <si>
    <t>Đối chiếu với movieService.js — đang hoàn thiện</t>
  </si>
  <si>
    <t>Thêm axiosClient.js (Axios instance) + movieService.js với đầy đủ 5 hàm CRUD</t>
  </si>
  <si>
    <t>src/services/</t>
  </si>
  <si>
    <t>Commit /commits/week08#service-layer</t>
  </si>
  <si>
    <t>Thêm Admin MovieManagePage.jsx: bảng CRUD phim + Modal thêm/sửa + confirm xoá</t>
  </si>
  <si>
    <t>Thêm db.json cho json-server với endpoint /movies và /showtimes</t>
  </si>
  <si>
    <t>Chạy port 3001</t>
  </si>
  <si>
    <t>MovieListPage chuyển từ dữ liệu hardcode sang gọi getMovies() qua useEffect</t>
  </si>
  <si>
    <t>Có loading/error state</t>
  </si>
  <si>
    <t>Thêm Spinner khi fetch và Alert khi lỗi API cho trang danh sách phim</t>
  </si>
  <si>
    <t>Chuyển toàn bộ service từ .then() lồng nhau sang async/await cho dễ đọc</t>
  </si>
  <si>
    <t>Sửa lỗi CORS khi React (port 3000) gọi json-server (port 3001) — thêm proxy trong package.json</t>
  </si>
  <si>
    <t>Sửa Modal thêm/sửa phim không tự đóng sau khi submit thành công</t>
  </si>
  <si>
    <t>Sửa Spinner treo mãi khi API trả 404 — bổ sung try/catch + finally</t>
  </si>
  <si>
    <t>Xoá mảng phim hardcode và các URL http://localhost:3001 rải rác trong component</t>
  </si>
  <si>
    <t>Thay bằng axiosClient + biến env</t>
  </si>
  <si>
    <t>Thiết kế service layer cho app React bán vé xem phim (CineBook) dùng axios + json-server: axiosClient.js tạo Axios instance (baseURL http://localhost:3001, header Content-Type: application/json), movieService.js tách riêng gồm getMovies, getMovieById, createMovie, updateMovie, deleteMovie. Component không gọi axios trực tiếp.</t>
  </si>
  <si>
    <t>Cấu trúc service đúng, nhưng baseURL bị hardcode trong code và mỗi hàm bọc try/catch rồi chỉ console.log, không throw lại nên caller tưởng request thành công.</t>
  </si>
  <si>
    <t>Đưa baseURL sang biến môi trường (VITE_API_URL), bỏ try/catch trong service để component tự catch; chuyển .then() sang async/await.</t>
  </si>
  <si>
    <t>Đủ 5 hàm CRUD, test bằng Postman và trực tiếp trên UI đều đúng</t>
  </si>
  <si>
    <t>Prompt #2  (B — Claude)</t>
  </si>
  <si>
    <t>Trong MovieListPage.jsx, thay mảng phim hardcode bằng useEffect gọi getMovies() từ movieService. Thêm state loading và error, hiển thị Spinner của react-bootstrap khi loading và Alert variant="danger" khi lỗi.</t>
  </si>
  <si>
    <t>Copilot sinh useEffect đúng nhưng đặt setLoading(false) ở cả then và catch, thiếu finally; ngoài ra thiếu mảng dependency [] nên gọi API lặp vô hạn.</t>
  </si>
  <si>
    <t>Bổ sung dependency array rỗng, gom setLoading(false) vào khối finally, tách Spinner và Alert thành component dùng chung.</t>
  </si>
  <si>
    <t>Danh sách phim load động từ /movies, không còn gọi API lặp; Network tab chỉ 1 request</t>
  </si>
  <si>
    <t>Prompt #3  (C — GitHub Copilot)</t>
  </si>
  <si>
    <t>Viết trang Admin MovieManagePage.jsx cho CineBook: bảng danh sách phim với nút Sửa/Xoá, Modal dùng chung cho cả thêm và sửa phim, confirm trước khi xoá. Gọi createMovie/updateMovie/deleteMovie từ movieService và refresh lại bảng sau mỗi thao tác.</t>
  </si>
  <si>
    <t>Claude viết 2 Modal riêng cho Add và Edit gây trùng lặp code; ngoài ra sau khi submit thành công không gọi setIsOpen(false) nên Modal không tự đóng.</t>
  </si>
  <si>
    <t>Gộp thành 1 Modal nhận props mode="add" | "edit"; gọi setIsOpen(false) sau khi cập nhật lại danh sách phim; thêm window.confirm trước deleteMovie.</t>
  </si>
  <si>
    <t>Thêm/sửa/xoá phim hoạt động đúng, Modal đóng sau submit, db.json cập nhật ngay</t>
  </si>
  <si>
    <t>Khi json-server trả lỗi 404, Spinner trong MovieListPage bị treo mãi không tắt. Giải thích nguyên nhân và cách xử lý đúng với async/await trong React.</t>
  </si>
  <si>
    <t>Giải thích đúng nguyên nhân (thiếu catch nên state loading không được reset), nhưng ví dụ vẫn set loading ở cả try và catch, chưa dùng finally và chưa gợi ý nút Thử lại.</t>
  </si>
  <si>
    <t>Dùng try/catch/finally, luôn tắt loading trong finally; bổ sung nút "Thử lại" trong Alert theo UX nhóm thống nhất.</t>
  </si>
  <si>
    <t>Tắt json-server → hiện Alert kèm nút Thử lại, Spinner không còn treo, app không crash</t>
  </si>
  <si>
    <t>Xây dựng axiosClient.js và movieService.js với đầy đủ 5 hàm CRUD; chủ trì tuần 08 và review luồng gọi API của cả nhóm.</t>
  </si>
  <si>
    <t>ChatGPT-4o đề xuất cấu trúc service layer chuẩn, Copilot sinh nhanh khung 5 hàm CRUD — tiết kiệm khoảng 2 giờ.</t>
  </si>
  <si>
    <t>(1) baseURL bị hardcode http://localhost:3001 thay vì dùng biến môi trường. (2) Service bọc try/catch rồi chỉ console.log, không throw lại nên component tưởng request thành công.</t>
  </si>
  <si>
    <t>Thống nhất quy ước xử lý lỗi: nên đặt ở service hay ở component.</t>
  </si>
  <si>
    <t>Định nghĩa convention xử lý lỗi và tên hàm service trước khi nhờ AI sinh code.</t>
  </si>
  <si>
    <t>Chuyển MovieListPage từ dữ liệu hardcode sang gọi getMovies() bằng useEffect, thêm state loading và error.</t>
  </si>
  <si>
    <t>Copilot sinh nhanh useEffect + state; ChatGPT giúp hiểu cấu trúc object error của Axios.</t>
  </si>
  <si>
    <t>(1) Copilot quên mảng dependency [] khiến useEffect gọi API lặp vô hạn. (2) Không phân biệt lỗi network (json-server chưa chạy) và lỗi 4xx nên thông báo cho user không chính xác.</t>
  </si>
  <si>
    <t>Debug vòng lặp render vô hạn, ban đầu tưởng do json-server chậm.</t>
  </si>
  <si>
    <t>Ghi rõ trong prompt là "chỉ fetch 1 lần khi mount" và yêu cầu phân loại lỗi network/HTTP.</t>
  </si>
  <si>
    <t>Cấu hình db.json với endpoint /movies, /showtimes và xây dựng Admin MovieManagePage.jsx (bảng CRUD + Modal + confirm xoá).</t>
  </si>
  <si>
    <t>Claude dựng nhanh khung bảng CRUD và Modal, ChatGPT-4o gợi ý cấu trúc db.json hợp lý cho json-server.</t>
  </si>
  <si>
    <t>(1) Claude tách 2 Modal riêng cho Add và Edit gây trùng lặp code, phải gộp thành 1 Modal dùng props mode. (2) Sau submit thành công không gọi setIsOpen(false) nên Modal không tự đóng.</t>
  </si>
  <si>
    <t>Đồng bộ lại danh sách phim sau mỗi thao tác CRUD mà không phải reload trang.</t>
  </si>
  <si>
    <t>Yêu cầu AI tái sử dụng component ngay trong prompt đầu tiên thay vì sinh trùng lặp rồi sửa sau.</t>
  </si>
  <si>
    <t>Test toàn bộ luồng CRUD phim (tạo, đọc, sửa, xoá) và verify dữ liệu trong db.json sau mỗi thao tác — hoàn thành khoảng 80%.</t>
  </si>
  <si>
    <t>Claude giúp lập checklist test và gợi ý các edge case mà nhóm chưa nghĩ tới (xoá phim đang có suất chiếu).</t>
  </si>
  <si>
    <t>(1) Checklist AI sinh ra chỉ có happy path, thiếu case tạo phim thiếu field bắt buộc. (2) AI không đề cập việc phải kiểm tra trực tiếp db.json sau thao tác, chỉ dựa vào UI.</t>
  </si>
  <si>
    <t>Chưa test xong 2 case edge (xoá phim có showtimes, tạo phim trùng id) nên tuần này mới đạt 80%.</t>
  </si>
  <si>
    <t>Viết checklist test trước khi code xong, và yêu cầu AI liệt kê cả negative case trong prompt.</t>
  </si>
  <si>
    <t>Hiển thị Spinner khi loading và Alert khi lỗi cho MovieListPage; viết tài liệu API endpoints và tổng hợp báo cáo tuần 08 — hoàn thành khoảng 80%.</t>
  </si>
  <si>
    <t>ChatGPT-4o giải thích rõ vì sao Spinner bị treo và cách dùng try/catch/finally trong async/await.</t>
  </si>
  <si>
    <t>(1) Ví dụ AI đưa vẫn set loading ở cả then và catch thay vì finally, dễ sót trường hợp. (2) Alert AI sinh không có nút "Thử lại" như UX nhóm cần.</t>
  </si>
  <si>
    <t>Tài liệu docs/week08-api-endpoints.md chưa xong (thiếu phần response mẫu cho lỗi 404/500).</t>
  </si>
  <si>
    <t>Chốt UX spec (có retry, có skeleton không) và cấu trúc tài liệu API trước khi nhờ AI sinh nội dung.</t>
  </si>
  <si>
    <t>FER202  |  Week 09  |  FPT University — Điền xong nhớ Ctrl+S để lưu!</t>
  </si>
  <si>
    <t>WEEK 09 — Nhật ký AI &amp; Project</t>
  </si>
  <si>
    <t>Viết useFetch.js trả {data, loading, error, refetch}, huỷ request bằng AbortController</t>
  </si>
  <si>
    <t>src/hooks/useFetch.js</t>
  </si>
  <si>
    <t>Bọc refetch trong useCallback, chỉ để [url] trong deps</t>
  </si>
  <si>
    <t>3 endpoint /api/movies dùng chung, hành vi giữ nguyên</t>
  </si>
  <si>
    <t>Viết useDebounce.js delay 400ms có cleanup clearTimeout</t>
  </si>
  <si>
    <t>src/hooks/useDebounce.js</t>
  </si>
  <si>
    <t>Đổi delay 500ms → 400ms sau khi test cảm giác gõ</t>
  </si>
  <si>
    <t>Gõ tên phim: từ ~10 request còn 1</t>
  </si>
  <si>
    <t>Viết useLocalStorage.js: sync state với localStorage, xử lý lỗi JSON.parse</t>
  </si>
  <si>
    <t>src/hooks/useLocalStorage.js</t>
  </si>
  <si>
    <t>Thêm try/catch fallback initialValue, lắng nghe sự kiện storage</t>
  </si>
  <si>
    <t>Sửa tay localStorage thành chuỗi rác — app vẫn chạy</t>
  </si>
  <si>
    <t>Refactor MovieListPage: thay useEffect + fetch thủ công bằng useFetch + useDebounce</t>
  </si>
  <si>
    <t>Giữ component chỉ lo render, toàn bộ logic đưa vào hook</t>
  </si>
  <si>
    <t>Từ ~110 dòng còn ~55 dòng, hành vi giống hệt</t>
  </si>
  <si>
    <t>Tính năng Wishlist phim yêu thích dùng useLocalStorage với khoá cinema_wishlist</t>
  </si>
  <si>
    <t>src/pages/WishlistPage.jsx</t>
  </si>
  <si>
    <t>Thêm kiểm tra trùng id trước khi push vào danh sách</t>
  </si>
  <si>
    <t>F5 trang — danh sách yêu thích còn nguyên</t>
  </si>
  <si>
    <t>Debug vòng lặp vô hạn khi truyền object options vào useFetch</t>
  </si>
  <si>
    <t>Lưu options qua useRef, dependency chỉ còn [url]</t>
  </si>
  <si>
    <t>Hết loop, Network tab chỉ 1 request mỗi lần đổi url</t>
  </si>
  <si>
    <t>Rà soát Rules of Hooks toàn project: không gọi trong if/loop, tên bắt đầu bằng "use"</t>
  </si>
  <si>
    <t>docs/Notes_Week9.md</t>
  </si>
  <si>
    <t>Bổ sung mục kiểm tra cleanup function vào checklist review</t>
  </si>
  <si>
    <t>ESLint react-hooks pass toàn project</t>
  </si>
  <si>
    <t>Tổ chức lại thư mục src/: hooks, services, context, pages theo separation of concerns</t>
  </si>
  <si>
    <t>src/</t>
  </si>
  <si>
    <t>Giữ lại barrel file index.js cho hooks, sửa đường dẫn import</t>
  </si>
  <si>
    <t>Build pass, còn tinh chỉnh UI Wishlist nên mới đạt 80%</t>
  </si>
  <si>
    <t>Thêm useFetch.js — quản lý data/loading/error/refetch, huỷ request bằng AbortController</t>
  </si>
  <si>
    <t>Commit "feat: add reusable hooks"</t>
  </si>
  <si>
    <t>Thêm useDebounce.js (delay 400ms, cleanup clearTimeout) và useLocalStorage.js (xử lý JSON error)</t>
  </si>
  <si>
    <t>src/hooks/</t>
  </si>
  <si>
    <t>Dùng cho ô tìm kiếm phim</t>
  </si>
  <si>
    <t>Thêm tính năng Wishlist phim yêu thích lưu ở khoá cinema_wishlist</t>
  </si>
  <si>
    <t>Persist sau reload</t>
  </si>
  <si>
    <t>Refactor MovieListPage dùng useFetch + useDebounce — từ ~110 dòng còn ~55 dòng</t>
  </si>
  <si>
    <t>Code giảm ~50%</t>
  </si>
  <si>
    <t>Tổ chức lại src/: hooks/, services/, context/, pages/ tách biệt mối quan tâm</t>
  </si>
  <si>
    <t>Separation of concerns</t>
  </si>
  <si>
    <t>Bọc hàm refetch trong useCallback để nút "Thử lại" hoạt động khi mạng lỗi</t>
  </si>
  <si>
    <t>Sửa vòng lặp vô hạn khi truyền object options vào useFetch — lưu qua useRef, deps chỉ [url]</t>
  </si>
  <si>
    <t>Sửa warning "Can't perform a React state update on an unmounted component" — abort() trong cleanup</t>
  </si>
  <si>
    <t>Sửa crash JSON.parse khi localStorage chứa dữ liệu hỏng — fallback về initialValue</t>
  </si>
  <si>
    <t>Xoá logic fetch/loading/error lặp lại ở từng trang (đã gom vào useFetch)</t>
  </si>
  <si>
    <t>Bỏ ~3 khối try/catch trùng</t>
  </si>
  <si>
    <t>Thiết kế service layer cho app React + axios + json-server: api.js tạo axios instance (baseURL, timeout, interceptor lỗi), bookService và orderService tách riêng. Component không gọi axios trực tiếp.</t>
  </si>
  <si>
    <t>Viết custom hook useFetch(url) cho React app đặt vé xem phim: trả về {data, loading, error, refetch}, dùng AbortController trong cleanup của useEffect để huỷ request khi url đổi hoặc component unmount. Kèm JSDoc.</t>
  </si>
  <si>
    <t>Hook đúng cấu trúc và có AbortController; nhưng hàm refetch không được bọc useCallback nên tạo mới mỗi render, và AI đề xuất truyền cả object options vào dependency array.</t>
  </si>
  <si>
    <t>Bọc refetch trong useCallback; lưu options qua useRef và chỉ để [url] trong deps để tránh vòng lặp vô hạn; reset error khi refetch.</t>
  </si>
  <si>
    <t>3 endpoint /api/movies/now-showing, /:id, /:id/reviews dùng chung hook — hành vi giữ nguyên, test thủ công pass</t>
  </si>
  <si>
    <t>Viết useDebounce(value, delay) trong React kèm giải thích cleanup. Áp dụng cho ô tìm kiếm phim để giảm số lần gọi lọc dữ liệu khi người dùng gõ liên tục.</t>
  </si>
  <si>
    <t>Code chuẩn setTimeout + clearTimeout trong cleanup; nhưng Claude đề xuất delay 500ms hơi lớn khiến cảm giác gõ bị trễ, và ví dụ ban đầu thiếu clearTimeout khi component unmount.</t>
  </si>
  <si>
    <t>Giảm delay xuống 400ms sau khi test thực tế; bổ sung clearTimeout trong hàm cleanup; kết hợp useDebounce với useFetch ở trang danh sách phim.</t>
  </si>
  <si>
    <t>Network tab: gõ tên phim chỉ còn 1 request thay vì khoảng 10</t>
  </si>
  <si>
    <t>Write a useLocalStorage(key, initialValue) hook: lazy init from localStorage, sync on set, handle JSON parse error and listen to the storage event for multi-tab sync.</t>
  </si>
  <si>
    <t>Copilot sinh logic chính đúng nhưng không bọc try/catch quanh JSON.parse — dữ liệu hỏng làm crash app; và đọc localStorage ở mỗi lần render thay vì lazy init.</t>
  </si>
  <si>
    <t>Thêm try/catch fallback về initialValue; dùng useState(() =&gt; ...) để lazy init; giữ phần lắng nghe sự kiện storage để đồng bộ giữa nhiều tab.</t>
  </si>
  <si>
    <t>Prompt #4  (E — Claude)</t>
  </si>
  <si>
    <t>Test: sửa tay localStorage thành chuỗi rác → app vẫn chạy với Wishlist rỗng, không crash</t>
  </si>
  <si>
    <t>Refactor trang MovieListPage này [code đính kèm]: tách logic fetch + search + filter vào custom hook, component chỉ còn lo phần render. Giữ nguyên hành vi hiện tại.</t>
  </si>
  <si>
    <t>AI tách hook hợp lý nhưng đặt tên getMoviesLogic (thiếu tiền tố use-) nên ESLint không kiểm tra được Rules of Hooks; ngoài ra gọi hook bên trong khối if.</t>
  </si>
  <si>
    <t>Đổi tên thành useMovies, đưa hook lên top-level của component; chạy lại checklist hành vi trước/sau khi refactor.</t>
  </si>
  <si>
    <t>ESLint react-hooks pass; hành vi giống hệt bản cũ, code từ ~110 dòng còn ~55 dòng</t>
  </si>
  <si>
    <t>Viết useDebounce.js (delay 400ms, có cleanup) và useLocalStorage.js (sync localStorage, xử lý JSON error).</t>
  </si>
  <si>
    <t>Claude giải thích cleanup của debounce rất rõ; Copilot sinh nhanh khoảng 80% logic của useLocalStorage.</t>
  </si>
  <si>
    <t>(1) Claude đề xuất delay 500ms làm UX gõ bị trễ, phải tự đo và giảm xuống 400ms. (2) Copilot không try/catch JSON.parse — dữ liệu hỏng trong localStorage làm crash app.</t>
  </si>
  <si>
    <t>Nghĩ đủ edge case của localStorage: dữ liệu hỏng, bộ nhớ đầy, người dùng xoá thủ công.</t>
  </si>
  <si>
    <t>Luôn hỏi AI "hook này fail trong trường hợp nào" để lộ edge case còn thiếu.</t>
  </si>
  <si>
    <t>Viết useFetch.js quản lý data/loading/error/refetch và huỷ request bằng AbortController; debug vòng lặp vô hạn.</t>
  </si>
  <si>
    <t>ChatGPT-4o dựng hook đúng pattern nhanh; Claude gợi đúng hướng object reference khi debug vòng lặp.</t>
  </si>
  <si>
    <t>(1) AI đề xuất truyền cả object options vào dependency array — mỗi render tạo object mới nên useEffect chạy lại vô hạn. (2) refetch không bọc useCallback, tạo hàm mới mỗi render làm hỏng memo hoá ở component con.</t>
  </si>
  <si>
    <t>Thiết kế API của hook (nhận gì, trả gì) sao cho 3 trang khác nhau đều dùng lại được.</t>
  </si>
  <si>
    <t>Viết trước chữ ký hook và các case sử dụng, rồi mới nhờ AI implement.</t>
  </si>
  <si>
    <t>Refactor MovieListPage: thay useEffect + fetch thủ công bằng useFetch + useDebounce, giảm từ ~110 xuống ~55 dòng.</t>
  </si>
  <si>
    <t>ChatGPT-4o tách logic khỏi UI nhanh, cấu trúc sau refactor sạch và dễ đọc hơn hẳn.</t>
  </si>
  <si>
    <t>(1) AI đặt tên hook thiếu tiền tố use- nên ESLint không check được Rules of Hooks. (2) AI gọi hook bên trong khối if — vi phạm Rules of Hooks.</t>
  </si>
  <si>
    <t>Refactor lớn mà không có unit test, phải lập checklist hành vi để test thủ công kỹ.</t>
  </si>
  <si>
    <t>Lập checklist hành vi trước khi refactor để đối chiếu sau khi xong.</t>
  </si>
  <si>
    <t>Xây tính năng Wishlist phim yêu thích dùng useLocalStorage với khoá cinema_wishlist; kiểm tra persist sau reload.</t>
  </si>
  <si>
    <t>ChatGPT-4o dựng nhanh luồng thêm/bỏ phim yêu thích và gợi ý cấu trúc dữ liệu lưu trong localStorage.</t>
  </si>
  <si>
    <t>(1) AI không kiểm tra trùng id nên bấm ♥ hai lần là phim bị lưu hai lần. (2) AI không nhắc phải đồng bộ giữa nhiều tab, phải bổ sung lắng nghe sự kiện storage.</t>
  </si>
  <si>
    <t>Kiểm chứng dữ liệu thật sự được ghi đúng — phải mở DevTools → Application → Local Storage để xác nhận.</t>
  </si>
  <si>
    <t>Yêu cầu AI liệt kê ràng buộc dữ liệu (unique, giới hạn số lượng) ngay trong prompt đầu tiên.</t>
  </si>
  <si>
    <t>Tổ chức lại thư mục src/ (hooks, services, context, pages), rà soát Rules of Hooks và viết báo cáo tuần — đạt khoảng 80%.</t>
  </si>
  <si>
    <t>Claude tổng hợp Rules of Hooks thành checklist ngắn dễ áp dụng khi review hook của cả nhóm.</t>
  </si>
  <si>
    <t>(1) Checklist Claude đưa ra thiếu mục kiểm tra cleanup function. (2) Ví dụ minh hoạ của AI dùng useEffect không có dependency array — trái với chính quy tắc đang hướng dẫn.</t>
  </si>
  <si>
    <t>UI trang Wishlist mới ở mức cơ bản, chưa tách thành trang riêng hoàn chỉnh nên tuần này mới đạt 80%.</t>
  </si>
  <si>
    <t>Yêu cầu người viết hook gửi kèm ví dụ sử dụng khi gửi review để hiểu đúng ngữ cảnh.</t>
  </si>
  <si>
    <t>FER202  |  Week 08  |  FPT University — Điền xong nhớ Ctrl+S để lưu!</t>
  </si>
  <si>
    <t>WEEK 10 — Nhật ký AI &amp; Project</t>
  </si>
  <si>
    <t>Áp dụng React.lazy() + &lt;Suspense fallback={&lt;Spinner/&gt;}&gt; cho 6 page trong App.jsx</t>
  </si>
  <si>
    <t>Cân nhắc giữ HomePage eager, dùng Spinner tối giản làm fallback</t>
  </si>
  <si>
    <t>Build ra nhiều chunk .js riêng cho từng page</t>
  </si>
  <si>
    <t>Cấu hình manualChunks trong vite.config.js tách react-vendor và ui-vendor</t>
  </si>
  <si>
    <t>vite.config.js</t>
  </si>
  <si>
    <t>Tăng chunkSizeWarningLimit, gom lại nhóm thư viện UI</t>
  </si>
  <si>
    <t>Hết warning "chunks larger than 500 kB"</t>
  </si>
  <si>
    <t>Toast notification bằng react-toastify khi thêm/bỏ phim yêu thích và đặt vé thành công</t>
  </si>
  <si>
    <t>Rút ngắn autoClose, đổi vị trí toast xuống góc phải dưới</t>
  </si>
  <si>
    <t>Toast hiện đúng khi thêm/bỏ yêu thích</t>
  </si>
  <si>
    <t>Skeleton loading bằng react-loading-skeleton cho danh sách phim đang fetch</t>
  </si>
  <si>
    <t>src/components/MovieCardSkeleton.jsx</t>
  </si>
  <si>
    <t>Chỉnh số thẻ skeleton còn 8 cho khớp lưới phim thật</t>
  </si>
  <si>
    <t>Hiệu ứng shimmer khớp layout, không nhảy layout</t>
  </si>
  <si>
    <t>Empty state khi tìm kiếm không ra kết quả, kèm gợi ý từ khoá khác</t>
  </si>
  <si>
    <t>src/components/EmptyState.jsx</t>
  </si>
  <si>
    <t>Viết lại nội dung tiếng Việt thân thiện thay vì câu dịch máy</t>
  </si>
  <si>
    <t>Tìm từ khoá không tồn tại — hiện thông báo, không còn màn hình trắng</t>
  </si>
  <si>
    <t>Rà soát và fix bug còn lại: routes điều hướng, luồng đặt vé, chọn ghế, responsive mobile</t>
  </si>
  <si>
    <t>Bỏ 2 gợi ý sửa layout làm vỡ grid trên tablet</t>
  </si>
  <si>
    <t>Chạy thử 10 luồng chính trên mobile OK</t>
  </si>
  <si>
    <t>Cấu hình deploy Vercel: build command, rewrite SPA trong vercel.json, biến môi trường</t>
  </si>
  <si>
    <t>vercel.json</t>
  </si>
  <si>
    <t>Thêm rewrites mọi path về /index.html, đưa API base URL vào env Vercel</t>
  </si>
  <si>
    <t>Refresh trang con trên Vercel không còn 404</t>
  </si>
  <si>
    <t>Lập dàn ý slide demo 8-10 trang và kịch bản video demo 3-5 phút</t>
  </si>
  <si>
    <t>docs/week10-slide-demo.pptx</t>
  </si>
  <si>
    <t>Rút gọn phần lý thuyết, tăng thời lượng demo tính năng thật</t>
  </si>
  <si>
    <t>Slide và video đang làm dở — mới đạt 85%</t>
  </si>
  <si>
    <t>Thêm React.lazy + &lt;Suspense fallback={&lt;Spinner/&gt;}&gt; cho 6 page trong App.jsx</t>
  </si>
  <si>
    <t>Commit "perf: code splitting with React.lazy"</t>
  </si>
  <si>
    <t>Thêm Skeleton loading (react-loading-skeleton) và Empty state khi tìm kiếm không có kết quả</t>
  </si>
  <si>
    <t>Shimmer 8 thẻ</t>
  </si>
  <si>
    <t>Thêm Toast notification (react-toastify) khi thêm/bỏ phim yêu thích và đặt vé thành công</t>
  </si>
  <si>
    <t>Giảm dung lượng tải lần đầu</t>
  </si>
  <si>
    <t>Deploy production lên Vercel kèm vercel.json rewrite SPA; đưa API base URL vào biến môi trường</t>
  </si>
  <si>
    <t>Link demo trong README</t>
  </si>
  <si>
    <t>Fix bug còn lại: routes điều hướng, luồng đặt vé, chọn ghế và responsive trên mobile</t>
  </si>
  <si>
    <t>Sửa lỗi 404 Not Found khi refresh trang con trên Vercel — thêm rewrites về /index.html</t>
  </si>
  <si>
    <t>Sửa warning "Some chunks are larger than 500 kB" — cấu hình manualChunks tách vendor</t>
  </si>
  <si>
    <t>Sửa Suspense fallback nhấp nháy khi mạng nhanh — giữ Spinner tối giản, cân nhắc delay tối thiểu</t>
  </si>
  <si>
    <t>Xoá code chết và toàn bộ console.log trong project trước khi build production</t>
  </si>
  <si>
    <t>Áp dụng React.lazy + Suspense cho các page của app Vite React (HomePage, MovieListPage, MovieDetailPage, BookingPage, WishlistPage, NotFoundPage). Trang nào nên giữ eager? Cách đo hiệu quả sau khi tách chunk?</t>
  </si>
  <si>
    <t>Hướng dẫn đúng, nhưng AI khuyên lazy toàn bộ page kể cả HomePage — làm chậm first paint của trang đầu; và không nói cách đo kích thước bundle trước/sau.</t>
  </si>
  <si>
    <t>Giữ HomePage eager, lazy 5 page còn lại; chạy npm run build trước và sau để so sánh kích thước chunk trong output.</t>
  </si>
  <si>
    <t>Build ra nhiều file .js tách biệt, chỉ tải chunk của trang đang xem; điều hướng có Spinner, không flash trắng</t>
  </si>
  <si>
    <t>Add skeleton loading with react-loading-skeleton for the movie list while fetching /api/movies/now-showing, and an empty state component shown when the search returns no result. Keep the same grid layout.</t>
  </si>
  <si>
    <t>Copilot sinh skeleton chạy được nhưng số thẻ và kích thước không khớp lưới phim thật gây nhảy layout khi data về; nội dung Empty state là câu dịch máy, không tự nhiên tiếng Việt.</t>
  </si>
  <si>
    <t>Chỉnh còn 8 thẻ skeleton đúng kích thước MovieCard; viết lại nội dung Empty state bằng tiếng Việt kèm gợi ý từ khoá khác.</t>
  </si>
  <si>
    <t>Layout không nhảy khi data về; tìm từ khoá không tồn tại hiện thông báo thân thiện thay vì màn hình trắng</t>
  </si>
  <si>
    <t>Deploy app Vite + React Router lên Vercel: cấu hình build command, SPA rewrites để không bị 404 khi refresh trang con, và cách quản lý biến môi trường API base URL giữa dev và production.</t>
  </si>
  <si>
    <t>Phần cấu hình build và rewrites đúng; nhưng AI không cảnh báo json-server không host được trên Vercel, và ban đầu gợi ý hard-code API URL trong code thay vì dùng biến môi trường.</t>
  </si>
  <si>
    <t>Thêm vercel.json rewrite mọi path về /index.html; cấu hình biến môi trường API trong dashboard Vercel thay vì hard-code; dùng mock API cho bản production.</t>
  </si>
  <si>
    <t>Deploy thành công, refresh mọi route con đều OK, không còn lỗi 404</t>
  </si>
  <si>
    <t>Prompt #4  (E — ChatGPT-4o)</t>
  </si>
  <si>
    <t>Dùng react-toastify hiển thị thông báo khi người dùng thêm/bỏ phim khỏi danh sách yêu thích và khi đặt vé thành công. Làm sao tránh toast hiện chồng nhiều lần khi bấm nhanh liên tục?</t>
  </si>
  <si>
    <t>Phần tích hợp react-toastify đúng và chạy được ngay; nhưng phần chống trùng AI chỉ nói chung chung là "giảm autoClose", không hướng dẫn cụ thể dùng toastId.</t>
  </si>
  <si>
    <t>Rút ngắn autoClose và đổi vị trí toast; đang thử dùng toastId để chống trùng nhưng chưa xử lý xong trong tuần này.</t>
  </si>
  <si>
    <t>Toast hiện đúng khi thêm/bỏ yêu thích và đặt vé; vẫn còn hiện chồng khi bấm rất nhanh — chưa fix</t>
  </si>
  <si>
    <t>Thành viên A — Thành viên</t>
  </si>
  <si>
    <t>Code splitting bằng React.lazy + Suspense cho 6 page, cấu hình manualChunks tách vendor trong vite.config.js.</t>
  </si>
  <si>
    <t>ChatGPT-4o hướng dẫn lazy + Suspense rõ ràng, giúp biết cách đọc output build để chứng minh hiệu quả tối ưu.</t>
  </si>
  <si>
    <t>(1) AI khuyên lazy cả HomePage làm chậm first paint của trang đầu. (2) AI không nhắc cách đo kích thước bundle trước/sau, phải tự tìm hiểu output của Vite.</t>
  </si>
  <si>
    <t>Chứng minh hiệu quả tối ưu bằng số liệu thay vì cảm tính.</t>
  </si>
  <si>
    <t>Luôn đo trước và sau khi tối ưu, ghi số liệu cụ thể vào báo cáo.</t>
  </si>
  <si>
    <t>Rà soát và fix toàn bộ bug còn lại: routes điều hướng, luồng đặt vé, chọn ghế và responsive trên mobile; dọn code chết.</t>
  </si>
  <si>
    <t>Claude giúp rà soát nhanh danh sách bug và gợi ý các luồng cần test lại sau mỗi lần sửa.</t>
  </si>
  <si>
    <t>(1) Hai gợi ý sửa layout của Claude làm vỡ grid trên tablet, phải bỏ đi. (2) AI không cảnh báo việc xoá console.log có thể xoá nhầm log đang dùng để debug luồng đặt vé.</t>
  </si>
  <si>
    <t>Sửa responsive cho nhiều kích thước màn hình mà không làm gãy layout đã ổn ở desktop.</t>
  </si>
  <si>
    <t>Test lại trên đủ 3 kích thước màn hình sau mỗi lần áp dụng gợi ý của AI.</t>
  </si>
  <si>
    <t>Tích hợp Toast notification bằng react-toastify khi thêm/bỏ phim yêu thích và khi đặt vé thành công.</t>
  </si>
  <si>
    <t>ChatGPT-4o hướng dẫn tích hợp react-toastify nhanh, chạy được ngay trong lần thử đầu tiên.</t>
  </si>
  <si>
    <t>(1) Phần chống toast trùng AI chỉ nói chung chung là giảm autoClose, không hướng dẫn dùng toastId. (2) AI đặt ToastContainer trong từng page thay vì đặt một lần ở App — gây hiện nhiều container.</t>
  </si>
  <si>
    <t>Toast vẫn hiện chồng nhiều lần khi bấm rất nhanh — chưa xử lý xong trong tuần này.</t>
  </si>
  <si>
    <t>Hỏi AI cụ thể về cơ chế chống trùng (toastId) ngay từ prompt đầu thay vì hỏi chung chung.</t>
  </si>
  <si>
    <t>Xây Skeleton loading với react-loading-skeleton và Empty state khi tìm kiếm không ra kết quả.</t>
  </si>
  <si>
    <t>Copilot sinh nhanh component skeleton; ChatGPT gợi ý cấu trúc Empty state kèm gợi ý từ khoá cho người dùng.</t>
  </si>
  <si>
    <t>(1) Skeleton Copilot sinh ra không khớp kích thước MovieCard thật, gây nhảy layout khi data về. (2) Nội dung Empty state là câu dịch máy, không tự nhiên tiếng Việt nên phải viết lại.</t>
  </si>
  <si>
    <t>Canh kích thước skeleton khớp đúng với thẻ phim thật để không nhảy layout.</t>
  </si>
  <si>
    <t>Gửi kèm kích thước và cấu trúc component thật trong prompt để AI sinh skeleton khớp ngay.</t>
  </si>
  <si>
    <t>Thành viên E —Thành viên</t>
  </si>
  <si>
    <t>Chạy npm run build, cấu hình vite.config và vercel.json, deploy lên Vercel; làm slide và video demo — đạt khoảng 85%.</t>
  </si>
  <si>
    <t>ChatGPT-4o hướng dẫn cấu hình Vercel chuẩn, xử lý nhanh vụ SPA rewrite; Claude giúp dựng dàn ý slide demo.</t>
  </si>
  <si>
    <t>(1) AI không nói rõ json-server không host được trên Vercel ngay từ đầu, mất thời gian thử sai. (2) AI ban đầu gợi ý hard-code API URL trong code thay vì dùng biến môi trường.</t>
  </si>
  <si>
    <t>Slide demo và video demo đang làm dở, chưa kịp hoàn thiện trước hạn nộp nên mới đạt 85%.</t>
  </si>
  <si>
    <t>Hỏi AI về giới hạn hạ tầng (host được gì, không host được gì) trước khi chọn giải pháp deploy.</t>
  </si>
  <si>
    <t>FER202  |  Week 10  |  FPT University — Điền xong nhớ Ctrl+S để lưu!</t>
  </si>
  <si>
    <t>SUMMARY — Tổng hợp cả học kỳ</t>
  </si>
  <si>
    <t>📊  Tổng số lần dùng AI theo tuần &amp; thành viên (tự động đếm từ các sheet Week)</t>
  </si>
  <si>
    <t>Tuần</t>
  </si>
  <si>
    <t>TV-A</t>
  </si>
  <si>
    <t>TV-B</t>
  </si>
  <si>
    <t>TV-C</t>
  </si>
  <si>
    <t>TV-D</t>
  </si>
  <si>
    <t>TV-E</t>
  </si>
  <si>
    <t>Tổng</t>
  </si>
  <si>
    <t>Week 01</t>
  </si>
  <si>
    <t>Tuần thiết kế — dùng AI design tool (Stitch, Figma Make) là chính</t>
  </si>
  <si>
    <t>Week 02</t>
  </si>
  <si>
    <t>Copilot sinh component nhanh nhưng hay sai key/className</t>
  </si>
  <si>
    <t>Week 03</t>
  </si>
  <si>
    <t>Props + composition; AI hay thêm tính năng ngoài scope</t>
  </si>
  <si>
    <t>Week 04</t>
  </si>
  <si>
    <t>useState + lifting state; bug mutate state điển hình</t>
  </si>
  <si>
    <t>Week 05</t>
  </si>
  <si>
    <t>UI sang react-bootstrap; lỗi import và thiếu gutter phổ biến</t>
  </si>
  <si>
    <t>Week 06</t>
  </si>
  <si>
    <t>Routing v6; lỗi lẫn cú pháp v5 là điểm cần cảnh giác</t>
  </si>
  <si>
    <t>Week 07</t>
  </si>
  <si>
    <t>useEffect/useContext/useRef; Context thay props drilling</t>
  </si>
  <si>
    <t>Week 08</t>
  </si>
  <si>
    <t>CRUD với axios + json-server; service layer</t>
  </si>
  <si>
    <t>Week 09</t>
  </si>
  <si>
    <t>Custom hooks; refactor giảm ~40% code trùng lặp</t>
  </si>
  <si>
    <t>Week 10</t>
  </si>
  <si>
    <t>Redux/Tailwind trên branch riêng; deploy Vercel thành công</t>
  </si>
  <si>
    <t>TỔNG</t>
  </si>
  <si>
    <t>📝  Nhận xét tổng kết học kỳ của nhóm</t>
  </si>
  <si>
    <t>Công cụ AI nhóm dùng nhiều nhất:</t>
  </si>
  <si>
    <t>ChatGPT-4o (~40%), GitHub Copilot (~30%), Claude (~20%), Google Stitch + Figma Make (~10% — tuần thiết kế).</t>
  </si>
  <si>
    <t>Tuần sử dụng AI hiệu quả nhất và lý do:</t>
  </si>
  <si>
    <t>Tuần 9 (Custom Hooks): AI giúp refactor giảm ~40% code trùng lặp mà nhóm vẫn kiểm soát logic, nhờ đã hiểu nền tảng hooks từ tuần 7–8.</t>
  </si>
  <si>
    <t>Điểm hạn chế / rủi ro khi dùng AI trong project:</t>
  </si>
  <si>
    <t>AI hay sinh code mutate state, sai version thư viện (router v5, CRA cũ), bỏ sót business rule (stock, tiếng Việt có dấu) và edge case; không review kỹ sẽ tạo bug ngầm khó truy vết.</t>
  </si>
  <si>
    <t>Bài học lớn nhất từ việc dùng AI trong học kỳ này:</t>
  </si>
  <si>
    <t>AI hiệu quả nhất khi prompt kèm context cụ thể (schema, version, business rule) và mọi output đều được kiểm chứng bằng chạy thử/docs trước khi merge — AI là trợ lý tăng tốc, con người quyết định.</t>
  </si>
  <si>
    <t>Hệ thống bán vé xem trực tuyến được phát triển bằng ReactJS, cho phép khách hàng tìm kiếm phim, xem lịch chiếu, chọn ghế, đặt vé, thanh toán trực tuyến và quản lý tài khoản. Hệ thống còn tích hợp AI gợi ý phim theo lịch sử xem, Chatbot hỗ trợ khách hàng, đa ngôn ngữ (Việt/Anh) và trang quản trị dành cho Admin để quản lý phim, lịch chiếu, người dùng và thống kê doanh thu.</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</si>
</sst>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22">
    <font>
      <sz val="11"/>
      <color theme="1"/>
      <name val="Calibri"/>
      <scheme val="minor"/>
    </font>
    <font>
      <b/>
      <sz val="16"/>
      <color rgb="FFFFFFFF"/>
      <name val="Arial"/>
    </font>
    <font>
      <sz val="11"/>
      <name val="Calibri"/>
    </font>
    <font>
      <i/>
      <sz val="11"/>
      <color rgb="FFFFFFFF"/>
      <name val="Arial"/>
    </font>
    <font>
      <b/>
      <sz val="11"/>
      <color rgb="FFFFFFFF"/>
      <name val="Arial"/>
    </font>
    <font>
      <sz val="10"/>
      <color rgb="FF000000"/>
      <name val="Arial"/>
    </font>
    <font>
      <b/>
      <sz val="15"/>
      <color rgb="FFFFFFFF"/>
      <name val="Arial"/>
    </font>
    <font>
      <b/>
      <sz val="10"/>
      <color rgb="FF000000"/>
      <name val="Arial"/>
    </font>
    <font>
      <sz val="11"/>
      <color theme="1"/>
      <name val="Arial"/>
    </font>
    <font>
      <b/>
      <sz val="11"/>
      <color theme="1"/>
      <name val="Calibri"/>
      <scheme val="minor"/>
    </font>
    <font>
      <u/>
      <sz val="10"/>
      <color rgb="FF000000"/>
      <name val="Arial"/>
    </font>
    <font>
      <b/>
      <sz val="14"/>
      <color rgb="FFFFFFFF"/>
      <name val="Arial"/>
    </font>
    <font>
      <i/>
      <sz val="9"/>
      <color rgb="FF808080"/>
      <name val="Arial"/>
    </font>
    <font>
      <sz val="11"/>
      <color rgb="FF000000"/>
      <name val="Calibri"/>
    </font>
    <font>
      <u/>
      <sz val="10"/>
      <color rgb="FF000000"/>
      <name val="Arial"/>
    </font>
    <font>
      <b/>
      <i/>
      <sz val="10"/>
      <color rgb="FF000000"/>
      <name val="Arial"/>
    </font>
    <font>
      <sz val="11"/>
      <color theme="1"/>
      <name val="Calibri"/>
      <scheme val="minor"/>
    </font>
    <font>
      <i/>
      <sz val="9"/>
      <color rgb="FFFFFFFF"/>
      <name val="Arial"/>
    </font>
    <font>
      <b/>
      <sz val="11"/>
      <color theme="1"/>
      <name val="Arial"/>
    </font>
    <font>
      <sz val="11"/>
      <color rgb="FF000000"/>
      <name val="Arial"/>
    </font>
    <font>
      <b/>
      <i/>
      <sz val="11"/>
      <color rgb="FF000000"/>
      <name val="Arial"/>
    </font>
    <font>
      <b/>
      <sz val="11"/>
      <color rgb="FF000000"/>
      <name val="Arial"/>
    </font>
  </fonts>
  <fills count="12">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7030A0"/>
        <bgColor rgb="FF7030A0"/>
      </patternFill>
    </fill>
    <fill>
      <patternFill patternType="solid">
        <fgColor rgb="FF375623"/>
        <bgColor rgb="FF375623"/>
      </patternFill>
    </fill>
    <fill>
      <patternFill patternType="solid">
        <fgColor rgb="FFD6E4F0"/>
        <bgColor rgb="FFD6E4F0"/>
      </patternFill>
    </fill>
    <fill>
      <patternFill patternType="solid">
        <fgColor rgb="FFE2EFDA"/>
        <bgColor rgb="FFE2EFDA"/>
      </patternFill>
    </fill>
    <fill>
      <patternFill patternType="solid">
        <fgColor rgb="FFF2F2F2"/>
        <bgColor rgb="FFF2F2F2"/>
      </patternFill>
    </fill>
    <fill>
      <patternFill patternType="solid">
        <fgColor rgb="FFEAD1DC"/>
        <bgColor rgb="FFEAD1DC"/>
      </patternFill>
    </fill>
    <fill>
      <patternFill patternType="solid">
        <fgColor rgb="FFC55A11"/>
        <bgColor rgb="FFC55A11"/>
      </patternFill>
    </fill>
    <fill>
      <patternFill patternType="solid">
        <fgColor rgb="FFFCE4D6"/>
        <bgColor rgb="FFFCE4D6"/>
      </patternFill>
    </fill>
  </fills>
  <borders count="14">
    <border>
      <left/>
      <right/>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BFBFBF"/>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FBFBF"/>
      </bottom>
      <diagonal/>
    </border>
    <border>
      <left/>
      <right style="thin">
        <color rgb="FFBFBFBF"/>
      </right>
      <top style="thin">
        <color rgb="FFB7B7B7"/>
      </top>
      <bottom style="thin">
        <color rgb="FFBFBFBF"/>
      </bottom>
      <diagonal/>
    </border>
    <border>
      <left/>
      <right/>
      <top style="thin">
        <color rgb="FFB7B7B7"/>
      </top>
      <bottom style="thin">
        <color rgb="FFBFBFBF"/>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81">
    <xf numFmtId="0" fontId="0" fillId="0" borderId="0" xfId="0" applyFont="1" applyAlignment="1"/>
    <xf numFmtId="0" fontId="5" fillId="0" borderId="3" xfId="0" applyFont="1" applyBorder="1" applyAlignment="1">
      <alignment horizontal="left" vertical="center" wrapText="1"/>
    </xf>
    <xf numFmtId="0" fontId="7" fillId="0" borderId="1" xfId="0" applyFont="1" applyBorder="1" applyAlignment="1">
      <alignment horizontal="left" vertical="center" wrapText="1"/>
    </xf>
    <xf numFmtId="0" fontId="7" fillId="6"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5" fillId="0" borderId="3" xfId="0" applyFont="1" applyBorder="1" applyAlignment="1">
      <alignment horizontal="left" vertical="center" wrapText="1"/>
    </xf>
    <xf numFmtId="0" fontId="8" fillId="0" borderId="3" xfId="0" applyFont="1" applyBorder="1" applyAlignment="1">
      <alignment wrapText="1"/>
    </xf>
    <xf numFmtId="0" fontId="7" fillId="0" borderId="3" xfId="0" applyFont="1" applyBorder="1" applyAlignment="1">
      <alignment horizontal="left" vertical="center" wrapText="1"/>
    </xf>
    <xf numFmtId="0" fontId="9" fillId="0" borderId="0" xfId="0" applyFont="1" applyAlignment="1"/>
    <xf numFmtId="0" fontId="7" fillId="0" borderId="4" xfId="0" applyFont="1" applyBorder="1" applyAlignment="1">
      <alignment horizontal="left" vertical="center" wrapText="1"/>
    </xf>
    <xf numFmtId="0" fontId="5" fillId="0" borderId="1" xfId="0" applyFont="1" applyBorder="1" applyAlignment="1">
      <alignment horizontal="left" vertical="center" wrapText="1"/>
    </xf>
    <xf numFmtId="0" fontId="5" fillId="0" borderId="4" xfId="0" applyFont="1" applyBorder="1" applyAlignment="1">
      <alignment horizontal="left" vertical="center" wrapText="1"/>
    </xf>
    <xf numFmtId="0" fontId="12" fillId="0" borderId="0" xfId="0" applyFont="1" applyAlignment="1">
      <alignment horizontal="left" vertical="center" wrapText="1"/>
    </xf>
    <xf numFmtId="164" fontId="13" fillId="0" borderId="5" xfId="0" applyNumberFormat="1" applyFont="1" applyBorder="1" applyAlignment="1">
      <alignment vertical="top"/>
    </xf>
    <xf numFmtId="0" fontId="13" fillId="0" borderId="5" xfId="0" applyFont="1" applyBorder="1" applyAlignment="1">
      <alignment vertical="top"/>
    </xf>
    <xf numFmtId="0" fontId="14" fillId="0" borderId="3" xfId="0" applyFont="1" applyBorder="1" applyAlignment="1">
      <alignment horizontal="left" vertical="center" wrapText="1"/>
    </xf>
    <xf numFmtId="0" fontId="7" fillId="7" borderId="3" xfId="0" applyFont="1" applyFill="1" applyBorder="1" applyAlignment="1">
      <alignment horizontal="center" vertical="center" wrapText="1"/>
    </xf>
    <xf numFmtId="0" fontId="16" fillId="0" borderId="0" xfId="0" applyFont="1" applyAlignment="1"/>
    <xf numFmtId="0" fontId="4" fillId="4" borderId="4" xfId="0" applyFont="1" applyFill="1" applyBorder="1" applyAlignment="1">
      <alignment horizontal="left" vertical="center" wrapText="1"/>
    </xf>
    <xf numFmtId="0" fontId="4" fillId="4" borderId="2" xfId="0" applyFont="1" applyFill="1" applyBorder="1" applyAlignment="1">
      <alignment horizontal="left" vertical="center" wrapText="1"/>
    </xf>
    <xf numFmtId="0" fontId="7" fillId="9" borderId="3" xfId="0" applyFont="1" applyFill="1" applyBorder="1" applyAlignment="1">
      <alignment horizontal="center" vertical="center" wrapText="1"/>
    </xf>
    <xf numFmtId="164" fontId="5" fillId="0" borderId="3" xfId="0" applyNumberFormat="1" applyFont="1" applyBorder="1" applyAlignment="1">
      <alignment horizontal="left" vertical="center" wrapText="1"/>
    </xf>
    <xf numFmtId="0" fontId="8" fillId="0" borderId="0" xfId="0" applyFont="1" applyAlignment="1"/>
    <xf numFmtId="0" fontId="12" fillId="0" borderId="1" xfId="0" applyFont="1" applyBorder="1" applyAlignment="1">
      <alignment horizontal="left" vertical="center" wrapText="1"/>
    </xf>
    <xf numFmtId="0" fontId="12" fillId="0" borderId="4" xfId="0" applyFont="1" applyBorder="1" applyAlignment="1">
      <alignment horizontal="left" vertical="center" wrapText="1"/>
    </xf>
    <xf numFmtId="0" fontId="12" fillId="0" borderId="2" xfId="0" applyFont="1" applyBorder="1" applyAlignment="1">
      <alignment horizontal="left" vertical="center" wrapText="1"/>
    </xf>
    <xf numFmtId="0" fontId="5" fillId="0" borderId="1" xfId="0" applyFont="1" applyBorder="1" applyAlignment="1">
      <alignment horizontal="left" vertical="center"/>
    </xf>
    <xf numFmtId="0" fontId="5" fillId="0" borderId="2" xfId="0" applyFont="1" applyBorder="1" applyAlignment="1">
      <alignment horizontal="left" vertical="center" wrapText="1"/>
    </xf>
    <xf numFmtId="0" fontId="12" fillId="0" borderId="6" xfId="0" applyFont="1" applyBorder="1" applyAlignment="1">
      <alignment horizontal="left" vertical="center"/>
    </xf>
    <xf numFmtId="0" fontId="12" fillId="0" borderId="1" xfId="0" applyFont="1" applyBorder="1" applyAlignment="1">
      <alignment horizontal="left" vertical="center"/>
    </xf>
    <xf numFmtId="0" fontId="12" fillId="0" borderId="0" xfId="0" applyFont="1" applyAlignment="1">
      <alignment horizontal="left" vertical="center"/>
    </xf>
    <xf numFmtId="0" fontId="12" fillId="0" borderId="4" xfId="0" applyFont="1" applyBorder="1" applyAlignment="1">
      <alignment horizontal="left" vertical="center"/>
    </xf>
    <xf numFmtId="0" fontId="12" fillId="0" borderId="2" xfId="0" applyFont="1" applyBorder="1" applyAlignment="1">
      <alignment horizontal="left" vertical="center"/>
    </xf>
    <xf numFmtId="164" fontId="8" fillId="0" borderId="7" xfId="0" applyNumberFormat="1" applyFont="1" applyBorder="1" applyAlignment="1">
      <alignment horizontal="left" vertical="top"/>
    </xf>
    <xf numFmtId="0" fontId="8" fillId="0" borderId="7" xfId="0" applyFont="1" applyBorder="1" applyAlignment="1">
      <alignment horizontal="left" vertical="top"/>
    </xf>
    <xf numFmtId="0" fontId="8" fillId="0" borderId="7" xfId="0" applyFont="1" applyBorder="1" applyAlignment="1">
      <alignment horizontal="left" vertical="top" wrapText="1"/>
    </xf>
    <xf numFmtId="0" fontId="18" fillId="0" borderId="7" xfId="0" applyFont="1" applyBorder="1" applyAlignment="1">
      <alignment horizontal="center"/>
    </xf>
    <xf numFmtId="164" fontId="19" fillId="0" borderId="3" xfId="0" applyNumberFormat="1" applyFont="1" applyBorder="1" applyAlignment="1">
      <alignment horizontal="left"/>
    </xf>
    <xf numFmtId="0" fontId="19" fillId="0" borderId="3" xfId="0" applyFont="1" applyBorder="1" applyAlignment="1">
      <alignment horizontal="left"/>
    </xf>
    <xf numFmtId="0" fontId="19" fillId="0" borderId="3" xfId="0" applyFont="1" applyBorder="1" applyAlignment="1">
      <alignment horizontal="left"/>
    </xf>
    <xf numFmtId="0" fontId="13" fillId="0" borderId="0" xfId="0" applyFont="1" applyAlignment="1"/>
    <xf numFmtId="0" fontId="5" fillId="0" borderId="3"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0" borderId="4" xfId="0" applyFont="1" applyBorder="1"/>
    <xf numFmtId="0" fontId="5" fillId="0" borderId="1" xfId="0" applyFont="1" applyBorder="1" applyAlignment="1">
      <alignment horizontal="left" vertical="center" wrapText="1"/>
    </xf>
    <xf numFmtId="0" fontId="10"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12" fillId="0" borderId="1" xfId="0" applyFont="1" applyBorder="1" applyAlignment="1">
      <alignment horizontal="left" vertical="center" wrapText="1"/>
    </xf>
    <xf numFmtId="0" fontId="4" fillId="10" borderId="1" xfId="0" applyFont="1" applyFill="1" applyBorder="1" applyAlignment="1">
      <alignment horizontal="left" vertical="center" wrapText="1"/>
    </xf>
    <xf numFmtId="0" fontId="12" fillId="0" borderId="0" xfId="0" applyFont="1" applyAlignment="1">
      <alignment horizontal="left" vertical="center" wrapText="1"/>
    </xf>
    <xf numFmtId="0" fontId="0" fillId="0" borderId="0" xfId="0" applyFont="1" applyAlignment="1"/>
    <xf numFmtId="0" fontId="7" fillId="11" borderId="1" xfId="0" applyFont="1" applyFill="1" applyBorder="1" applyAlignment="1">
      <alignment horizontal="left" vertical="center" wrapText="1"/>
    </xf>
    <xf numFmtId="0" fontId="12" fillId="0" borderId="6" xfId="0" applyFont="1" applyBorder="1" applyAlignment="1">
      <alignment horizontal="left" vertical="center" wrapText="1"/>
    </xf>
    <xf numFmtId="0" fontId="17"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0" borderId="0" xfId="0" applyFont="1" applyAlignment="1">
      <alignment horizontal="center" vertical="center" wrapText="1"/>
    </xf>
    <xf numFmtId="0" fontId="7" fillId="7"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0" borderId="8" xfId="0" applyFont="1" applyBorder="1" applyAlignment="1">
      <alignment horizontal="left" vertical="top"/>
    </xf>
    <xf numFmtId="0" fontId="2" fillId="0" borderId="10" xfId="0" applyFont="1" applyBorder="1"/>
    <xf numFmtId="0" fontId="2" fillId="0" borderId="9" xfId="0" applyFont="1" applyBorder="1"/>
    <xf numFmtId="0" fontId="8" fillId="0" borderId="11" xfId="0" applyFont="1" applyBorder="1" applyAlignment="1">
      <alignment horizontal="left" vertical="top"/>
    </xf>
    <xf numFmtId="0" fontId="2" fillId="0" borderId="12" xfId="0" applyFont="1" applyBorder="1"/>
    <xf numFmtId="0" fontId="2" fillId="0" borderId="13" xfId="0" applyFont="1" applyBorder="1"/>
    <xf numFmtId="0" fontId="8" fillId="0" borderId="8" xfId="0" applyFont="1" applyBorder="1" applyAlignment="1">
      <alignment horizontal="left" vertical="top" wrapText="1"/>
    </xf>
    <xf numFmtId="0" fontId="19" fillId="0" borderId="1" xfId="0" applyFont="1" applyBorder="1" applyAlignment="1">
      <alignment horizontal="left"/>
    </xf>
    <xf numFmtId="0" fontId="12" fillId="0" borderId="6" xfId="0" applyFont="1" applyBorder="1" applyAlignment="1">
      <alignment horizontal="left"/>
    </xf>
    <xf numFmtId="0" fontId="12" fillId="0" borderId="1" xfId="0" applyFont="1" applyBorder="1" applyAlignment="1">
      <alignment horizontal="left"/>
    </xf>
    <xf numFmtId="0" fontId="21" fillId="0" borderId="1" xfId="0" applyFont="1" applyBorder="1" applyAlignment="1">
      <alignment horizontal="left"/>
    </xf>
    <xf numFmtId="0" fontId="12" fillId="0" borderId="0" xfId="0" applyFont="1" applyAlignment="1">
      <alignment horizontal="left"/>
    </xf>
    <xf numFmtId="0" fontId="21" fillId="11" borderId="1" xfId="0" applyFont="1" applyFill="1" applyBorder="1" applyAlignment="1">
      <alignment horizontal="left"/>
    </xf>
    <xf numFmtId="0" fontId="20" fillId="8"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fudn-traltb-su26/rbl-fer202-theotuan-team_1.gi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readme.md/" TargetMode="External"/><Relationship Id="rId2" Type="http://schemas.openxmlformats.org/officeDocument/2006/relationships/hyperlink" Target="http://readme.md/" TargetMode="External"/><Relationship Id="rId1" Type="http://schemas.openxmlformats.org/officeDocument/2006/relationships/hyperlink" Target="http://readme.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000"/>
  <sheetViews>
    <sheetView showGridLines="0" workbookViewId="0"/>
  </sheetViews>
  <sheetFormatPr defaultColWidth="14.42578125" defaultRowHeight="15" customHeight="1"/>
  <cols>
    <col min="1" max="1" width="3" customWidth="1"/>
    <col min="2" max="2" width="28" customWidth="1"/>
    <col min="3" max="3" width="84.42578125" customWidth="1"/>
    <col min="4" max="26" width="8.5703125" customWidth="1"/>
  </cols>
  <sheetData>
    <row r="1" spans="2:3" ht="13.5" customHeight="1"/>
    <row r="2" spans="2:3" ht="36" customHeight="1">
      <c r="B2" s="42" t="s">
        <v>0</v>
      </c>
      <c r="C2" s="43"/>
    </row>
    <row r="3" spans="2:3" ht="18" customHeight="1">
      <c r="B3" s="44" t="s">
        <v>1</v>
      </c>
      <c r="C3" s="43"/>
    </row>
    <row r="4" spans="2:3" ht="14.25" customHeight="1"/>
    <row r="5" spans="2:3" ht="19.5" customHeight="1">
      <c r="B5" s="45" t="s">
        <v>2</v>
      </c>
      <c r="C5" s="43"/>
    </row>
    <row r="6" spans="2:3" ht="24.75" customHeight="1">
      <c r="B6" s="1" t="s">
        <v>3</v>
      </c>
      <c r="C6" s="1" t="s">
        <v>4</v>
      </c>
    </row>
    <row r="7" spans="2:3" ht="24.75" customHeight="1">
      <c r="B7" s="1" t="s">
        <v>5</v>
      </c>
      <c r="C7" s="1" t="s">
        <v>6</v>
      </c>
    </row>
    <row r="8" spans="2:3" ht="18" customHeight="1">
      <c r="B8" s="1" t="s">
        <v>7</v>
      </c>
      <c r="C8" s="1" t="s">
        <v>8</v>
      </c>
    </row>
    <row r="9" spans="2:3" ht="14.25" customHeight="1"/>
    <row r="10" spans="2:3" ht="19.5" customHeight="1">
      <c r="B10" s="46" t="s">
        <v>9</v>
      </c>
      <c r="C10" s="43"/>
    </row>
    <row r="11" spans="2:3" ht="14.25" customHeight="1">
      <c r="B11" s="1" t="s">
        <v>10</v>
      </c>
      <c r="C11" s="1" t="s">
        <v>11</v>
      </c>
    </row>
    <row r="12" spans="2:3" ht="14.25" customHeight="1">
      <c r="B12" s="1" t="s">
        <v>12</v>
      </c>
      <c r="C12" s="1" t="s">
        <v>13</v>
      </c>
    </row>
    <row r="13" spans="2:3" ht="18" customHeight="1">
      <c r="B13" s="1" t="s">
        <v>14</v>
      </c>
      <c r="C13" s="1" t="s">
        <v>15</v>
      </c>
    </row>
    <row r="14" spans="2:3" ht="14.25" customHeight="1"/>
    <row r="15" spans="2:3" ht="19.5" customHeight="1">
      <c r="B15" s="47" t="s">
        <v>16</v>
      </c>
      <c r="C15" s="43"/>
    </row>
    <row r="16" spans="2:3" ht="24.75" customHeight="1">
      <c r="B16" s="1" t="s">
        <v>17</v>
      </c>
      <c r="C16" s="1" t="s">
        <v>18</v>
      </c>
    </row>
    <row r="17" spans="2:3" ht="24.75" customHeight="1">
      <c r="B17" s="1" t="s">
        <v>19</v>
      </c>
      <c r="C17" s="1" t="s">
        <v>20</v>
      </c>
    </row>
    <row r="18" spans="2:3" ht="24.75" customHeight="1">
      <c r="B18" s="1" t="s">
        <v>21</v>
      </c>
      <c r="C18" s="1" t="s">
        <v>22</v>
      </c>
    </row>
    <row r="19" spans="2:3" ht="24.75" customHeight="1">
      <c r="B19" s="1" t="s">
        <v>23</v>
      </c>
      <c r="C19" s="1" t="s">
        <v>24</v>
      </c>
    </row>
    <row r="20" spans="2:3" ht="14.25" customHeight="1"/>
    <row r="21" spans="2:3" ht="19.5" customHeight="1">
      <c r="B21" s="48" t="s">
        <v>25</v>
      </c>
      <c r="C21" s="43"/>
    </row>
    <row r="22" spans="2:3" ht="14.25" customHeight="1">
      <c r="B22" s="1" t="s">
        <v>26</v>
      </c>
      <c r="C22" s="1" t="s">
        <v>27</v>
      </c>
    </row>
    <row r="23" spans="2:3" ht="24.75" customHeight="1">
      <c r="B23" s="1" t="s">
        <v>28</v>
      </c>
      <c r="C23" s="1" t="s">
        <v>29</v>
      </c>
    </row>
    <row r="24" spans="2:3" ht="18" customHeight="1">
      <c r="B24" s="1" t="s">
        <v>30</v>
      </c>
      <c r="C24" s="1" t="s">
        <v>31</v>
      </c>
    </row>
    <row r="25" spans="2:3" ht="18" customHeight="1">
      <c r="B25" s="1" t="s">
        <v>32</v>
      </c>
      <c r="C25" s="1" t="s">
        <v>33</v>
      </c>
    </row>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1:C21"/>
    <mergeCell ref="B2:C2"/>
    <mergeCell ref="B3:C3"/>
    <mergeCell ref="B5:C5"/>
    <mergeCell ref="B10:C10"/>
    <mergeCell ref="B15:C15"/>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000"/>
  <sheetViews>
    <sheetView showGridLines="0" tabSelected="1" workbookViewId="0">
      <selection activeCell="C20" sqref="C20:G20"/>
    </sheetView>
  </sheetViews>
  <sheetFormatPr defaultColWidth="14.42578125" defaultRowHeight="15" customHeight="1"/>
  <cols>
    <col min="1" max="1" width="3" customWidth="1"/>
    <col min="2" max="2" width="24" customWidth="1"/>
    <col min="3" max="3" width="32.85546875" customWidth="1"/>
    <col min="4" max="4" width="18" customWidth="1"/>
    <col min="5" max="5" width="42.7109375" customWidth="1"/>
    <col min="6" max="6" width="18" customWidth="1"/>
    <col min="7" max="7" width="20" customWidth="1"/>
    <col min="8" max="26" width="8.5703125" customWidth="1"/>
  </cols>
  <sheetData>
    <row r="1" spans="2:7" ht="13.5" customHeight="1"/>
    <row r="2" spans="2:7" ht="36" customHeight="1">
      <c r="B2" s="52" t="s">
        <v>34</v>
      </c>
      <c r="C2" s="49"/>
      <c r="D2" s="49"/>
      <c r="E2" s="49"/>
      <c r="F2" s="49"/>
      <c r="G2" s="43"/>
    </row>
    <row r="3" spans="2:7" ht="19.5" customHeight="1">
      <c r="B3" s="46" t="s">
        <v>35</v>
      </c>
      <c r="C3" s="49"/>
      <c r="D3" s="49"/>
      <c r="E3" s="49"/>
      <c r="F3" s="49"/>
      <c r="G3" s="43"/>
    </row>
    <row r="4" spans="2:7" ht="18" customHeight="1">
      <c r="B4" s="2" t="s">
        <v>36</v>
      </c>
      <c r="C4" s="53" t="s">
        <v>37</v>
      </c>
      <c r="D4" s="49"/>
      <c r="E4" s="49"/>
      <c r="F4" s="49"/>
      <c r="G4" s="49"/>
    </row>
    <row r="5" spans="2:7" ht="18" customHeight="1">
      <c r="B5" s="2" t="s">
        <v>38</v>
      </c>
      <c r="C5" s="53" t="s">
        <v>39</v>
      </c>
      <c r="D5" s="49"/>
      <c r="E5" s="49"/>
      <c r="F5" s="49"/>
      <c r="G5" s="49"/>
    </row>
    <row r="6" spans="2:7" ht="18" customHeight="1">
      <c r="B6" s="2" t="s">
        <v>40</v>
      </c>
      <c r="C6" s="53" t="s">
        <v>41</v>
      </c>
      <c r="D6" s="49"/>
      <c r="E6" s="49"/>
      <c r="F6" s="49"/>
      <c r="G6" s="49"/>
    </row>
    <row r="7" spans="2:7" ht="18" customHeight="1">
      <c r="B7" s="2" t="s">
        <v>42</v>
      </c>
      <c r="C7" s="53" t="s">
        <v>43</v>
      </c>
      <c r="D7" s="49"/>
      <c r="E7" s="49"/>
      <c r="F7" s="49"/>
      <c r="G7" s="49"/>
    </row>
    <row r="8" spans="2:7" ht="18" customHeight="1">
      <c r="B8" s="2" t="s">
        <v>44</v>
      </c>
      <c r="C8" s="53" t="s">
        <v>45</v>
      </c>
      <c r="D8" s="49"/>
      <c r="E8" s="49"/>
      <c r="F8" s="49"/>
      <c r="G8" s="49"/>
    </row>
    <row r="9" spans="2:7" ht="14.25" customHeight="1"/>
    <row r="10" spans="2:7" ht="19.5" customHeight="1">
      <c r="B10" s="46" t="s">
        <v>46</v>
      </c>
      <c r="C10" s="49"/>
      <c r="D10" s="49"/>
      <c r="E10" s="49"/>
      <c r="F10" s="49"/>
      <c r="G10" s="43"/>
    </row>
    <row r="11" spans="2:7" ht="14.25" customHeight="1">
      <c r="B11" s="3" t="s">
        <v>47</v>
      </c>
      <c r="C11" s="3" t="s">
        <v>48</v>
      </c>
      <c r="D11" s="3" t="s">
        <v>49</v>
      </c>
      <c r="E11" s="3" t="s">
        <v>50</v>
      </c>
      <c r="F11" s="3" t="s">
        <v>51</v>
      </c>
      <c r="G11" s="3" t="s">
        <v>52</v>
      </c>
    </row>
    <row r="12" spans="2:7" ht="18" customHeight="1">
      <c r="B12" s="4" t="s">
        <v>53</v>
      </c>
      <c r="C12" s="5" t="s">
        <v>54</v>
      </c>
      <c r="D12" s="6" t="s">
        <v>55</v>
      </c>
      <c r="E12" s="6" t="s">
        <v>56</v>
      </c>
      <c r="F12" s="1" t="s">
        <v>57</v>
      </c>
      <c r="G12" s="1"/>
    </row>
    <row r="13" spans="2:7" ht="18" customHeight="1">
      <c r="B13" s="4" t="s">
        <v>58</v>
      </c>
      <c r="C13" s="5" t="s">
        <v>59</v>
      </c>
      <c r="D13" s="6" t="s">
        <v>60</v>
      </c>
      <c r="E13" s="6" t="s">
        <v>61</v>
      </c>
      <c r="F13" s="1" t="s">
        <v>62</v>
      </c>
      <c r="G13" s="1"/>
    </row>
    <row r="14" spans="2:7" ht="18" customHeight="1">
      <c r="B14" s="4" t="s">
        <v>63</v>
      </c>
      <c r="C14" s="5" t="s">
        <v>64</v>
      </c>
      <c r="D14" s="6" t="s">
        <v>65</v>
      </c>
      <c r="E14" s="6" t="s">
        <v>66</v>
      </c>
      <c r="F14" s="1" t="s">
        <v>62</v>
      </c>
      <c r="G14" s="1"/>
    </row>
    <row r="15" spans="2:7" ht="18" customHeight="1">
      <c r="B15" s="4" t="s">
        <v>67</v>
      </c>
      <c r="C15" s="5" t="s">
        <v>68</v>
      </c>
      <c r="D15" s="6" t="s">
        <v>69</v>
      </c>
      <c r="E15" s="6" t="s">
        <v>70</v>
      </c>
      <c r="F15" s="1" t="s">
        <v>62</v>
      </c>
      <c r="G15" s="1"/>
    </row>
    <row r="16" spans="2:7" ht="18" customHeight="1">
      <c r="B16" s="4" t="s">
        <v>71</v>
      </c>
      <c r="C16" s="5" t="s">
        <v>72</v>
      </c>
      <c r="D16" s="1"/>
      <c r="E16" s="1"/>
      <c r="F16" s="1" t="s">
        <v>62</v>
      </c>
      <c r="G16" s="1"/>
    </row>
    <row r="17" spans="2:7" ht="14.25" customHeight="1"/>
    <row r="18" spans="2:7" ht="19.5" customHeight="1">
      <c r="B18" s="48" t="s">
        <v>73</v>
      </c>
      <c r="C18" s="49"/>
      <c r="D18" s="49"/>
      <c r="E18" s="49"/>
      <c r="F18" s="49"/>
      <c r="G18" s="43"/>
    </row>
    <row r="19" spans="2:7" ht="19.5" customHeight="1">
      <c r="B19" s="7" t="s">
        <v>74</v>
      </c>
      <c r="C19" s="8" t="s">
        <v>75</v>
      </c>
      <c r="D19" s="9"/>
      <c r="E19" s="9"/>
      <c r="F19" s="9"/>
      <c r="G19" s="9"/>
    </row>
    <row r="20" spans="2:7" ht="59.25" customHeight="1">
      <c r="B20" s="7" t="s">
        <v>76</v>
      </c>
      <c r="C20" s="50" t="s">
        <v>1079</v>
      </c>
      <c r="D20" s="49"/>
      <c r="E20" s="49"/>
      <c r="F20" s="49"/>
      <c r="G20" s="49"/>
    </row>
    <row r="21" spans="2:7" ht="19.5" customHeight="1">
      <c r="B21" s="7" t="s">
        <v>77</v>
      </c>
      <c r="C21" s="50" t="s">
        <v>78</v>
      </c>
      <c r="D21" s="49"/>
      <c r="E21" s="49"/>
      <c r="F21" s="49"/>
      <c r="G21" s="49"/>
    </row>
    <row r="22" spans="2:7" ht="19.5" customHeight="1">
      <c r="B22" s="7" t="s">
        <v>79</v>
      </c>
      <c r="C22" s="51" t="s">
        <v>80</v>
      </c>
      <c r="D22" s="49"/>
      <c r="E22" s="49"/>
      <c r="F22" s="49"/>
      <c r="G22" s="49"/>
    </row>
    <row r="23" spans="2:7" ht="19.5" customHeight="1">
      <c r="B23" s="7" t="s">
        <v>81</v>
      </c>
      <c r="C23" s="10"/>
      <c r="D23" s="11"/>
      <c r="E23" s="11"/>
      <c r="F23" s="11"/>
      <c r="G23" s="11"/>
    </row>
    <row r="24" spans="2:7" ht="19.5" customHeight="1">
      <c r="B24" s="7" t="s">
        <v>82</v>
      </c>
      <c r="C24" s="50"/>
      <c r="D24" s="49"/>
      <c r="E24" s="49"/>
      <c r="F24" s="49"/>
      <c r="G24" s="49"/>
    </row>
    <row r="25" spans="2:7" ht="14.25" customHeight="1"/>
    <row r="26" spans="2:7" ht="14.25" customHeight="1"/>
    <row r="27" spans="2:7" ht="14.25" customHeight="1"/>
    <row r="28" spans="2:7" ht="14.25" customHeight="1"/>
    <row r="29" spans="2:7" ht="14.25" customHeight="1"/>
    <row r="30" spans="2:7" ht="14.25" customHeight="1"/>
    <row r="31" spans="2:7" ht="14.25" customHeight="1"/>
    <row r="32" spans="2: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C24:G24"/>
    <mergeCell ref="B2:G2"/>
    <mergeCell ref="B3:G3"/>
    <mergeCell ref="C4:G4"/>
    <mergeCell ref="C5:G5"/>
    <mergeCell ref="C6:G6"/>
    <mergeCell ref="C7:G7"/>
    <mergeCell ref="C8:G8"/>
    <mergeCell ref="B10:G10"/>
    <mergeCell ref="B18:G18"/>
    <mergeCell ref="C20:G20"/>
    <mergeCell ref="C21:G21"/>
    <mergeCell ref="C22:G22"/>
  </mergeCells>
  <hyperlinks>
    <hyperlink ref="C22" r:id="rId1"/>
  </hyperlink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6"/>
  <sheetViews>
    <sheetView showGridLines="0" workbookViewId="0"/>
  </sheetViews>
  <sheetFormatPr defaultColWidth="14.42578125" defaultRowHeight="15" customHeight="1"/>
  <cols>
    <col min="1" max="1" width="3" customWidth="1"/>
    <col min="2" max="2" width="12" customWidth="1"/>
    <col min="3" max="3" width="6" customWidth="1"/>
    <col min="4" max="4" width="62.42578125" customWidth="1"/>
    <col min="5" max="5" width="32" customWidth="1"/>
    <col min="6" max="6" width="20" customWidth="1"/>
    <col min="7" max="7" width="19.140625" customWidth="1"/>
    <col min="8" max="8" width="39.42578125" customWidth="1"/>
    <col min="9" max="9" width="40.42578125" customWidth="1"/>
    <col min="10" max="26" width="8.5703125" customWidth="1"/>
  </cols>
  <sheetData>
    <row r="1" spans="2:9" ht="13.5" customHeight="1"/>
    <row r="2" spans="2:9" ht="33.75" customHeight="1">
      <c r="B2" s="61" t="s">
        <v>83</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24.75" customHeight="1">
      <c r="B8" s="13">
        <v>46184</v>
      </c>
      <c r="C8" s="5" t="s">
        <v>53</v>
      </c>
      <c r="D8" s="14" t="s">
        <v>95</v>
      </c>
      <c r="E8" s="5" t="s">
        <v>96</v>
      </c>
      <c r="F8" s="5" t="s">
        <v>97</v>
      </c>
      <c r="G8" s="5" t="s">
        <v>98</v>
      </c>
      <c r="H8" s="5" t="s">
        <v>99</v>
      </c>
      <c r="I8" s="5" t="s">
        <v>100</v>
      </c>
    </row>
    <row r="9" spans="2:9" ht="14.25" customHeight="1">
      <c r="B9" s="13">
        <v>46185</v>
      </c>
      <c r="C9" s="5" t="s">
        <v>58</v>
      </c>
      <c r="D9" s="14" t="s">
        <v>95</v>
      </c>
      <c r="E9" s="5" t="s">
        <v>101</v>
      </c>
      <c r="F9" s="5" t="s">
        <v>102</v>
      </c>
      <c r="G9" s="5" t="s">
        <v>103</v>
      </c>
      <c r="H9" s="5" t="s">
        <v>104</v>
      </c>
      <c r="I9" s="5" t="s">
        <v>105</v>
      </c>
    </row>
    <row r="10" spans="2:9" ht="24.75" customHeight="1">
      <c r="B10" s="13">
        <v>46186</v>
      </c>
      <c r="C10" s="5" t="s">
        <v>63</v>
      </c>
      <c r="D10" s="14" t="s">
        <v>95</v>
      </c>
      <c r="E10" s="5" t="s">
        <v>106</v>
      </c>
      <c r="F10" s="5" t="s">
        <v>107</v>
      </c>
      <c r="G10" s="5" t="s">
        <v>103</v>
      </c>
      <c r="H10" s="5" t="s">
        <v>108</v>
      </c>
      <c r="I10" s="5" t="s">
        <v>109</v>
      </c>
    </row>
    <row r="11" spans="2:9" ht="24.75" customHeight="1">
      <c r="B11" s="13">
        <v>46188</v>
      </c>
      <c r="C11" s="5" t="s">
        <v>67</v>
      </c>
      <c r="D11" s="14" t="s">
        <v>110</v>
      </c>
      <c r="E11" s="5" t="s">
        <v>111</v>
      </c>
      <c r="F11" s="5" t="s">
        <v>112</v>
      </c>
      <c r="G11" s="5" t="s">
        <v>98</v>
      </c>
      <c r="H11" s="5" t="s">
        <v>113</v>
      </c>
      <c r="I11" s="5" t="s">
        <v>114</v>
      </c>
    </row>
    <row r="12" spans="2:9" ht="24.75" customHeight="1">
      <c r="B12" s="13">
        <v>46189</v>
      </c>
      <c r="C12" s="5" t="s">
        <v>71</v>
      </c>
      <c r="D12" s="14" t="s">
        <v>95</v>
      </c>
      <c r="E12" s="5" t="s">
        <v>115</v>
      </c>
      <c r="F12" s="15" t="s">
        <v>116</v>
      </c>
      <c r="G12" s="5" t="s">
        <v>117</v>
      </c>
      <c r="H12" s="5" t="s">
        <v>118</v>
      </c>
      <c r="I12" s="5" t="s">
        <v>119</v>
      </c>
    </row>
    <row r="13" spans="2:9" ht="18" customHeight="1">
      <c r="B13" s="13">
        <v>46190</v>
      </c>
      <c r="C13" s="5" t="s">
        <v>53</v>
      </c>
      <c r="D13" s="14" t="s">
        <v>95</v>
      </c>
      <c r="E13" s="5" t="s">
        <v>120</v>
      </c>
      <c r="F13" s="5" t="s">
        <v>121</v>
      </c>
      <c r="G13" s="5" t="s">
        <v>117</v>
      </c>
      <c r="H13" s="5" t="s">
        <v>122</v>
      </c>
      <c r="I13" s="5" t="s">
        <v>123</v>
      </c>
    </row>
    <row r="14" spans="2:9" ht="18" customHeight="1">
      <c r="B14" s="1"/>
      <c r="C14" s="1"/>
      <c r="D14" s="1"/>
      <c r="E14" s="1"/>
      <c r="F14" s="1"/>
      <c r="G14" s="1"/>
      <c r="H14" s="1"/>
      <c r="I14" s="1"/>
    </row>
    <row r="15" spans="2:9" ht="18" customHeight="1">
      <c r="B15" s="1"/>
      <c r="C15" s="1"/>
      <c r="D15" s="1"/>
      <c r="E15" s="1"/>
      <c r="F15" s="1"/>
      <c r="G15" s="1"/>
      <c r="H15" s="1"/>
      <c r="I15" s="1"/>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4.25" customHeight="1">
      <c r="B21" s="1"/>
      <c r="C21" s="5" t="s">
        <v>53</v>
      </c>
      <c r="D21" s="5" t="s">
        <v>129</v>
      </c>
      <c r="E21" s="1"/>
      <c r="F21" s="1"/>
      <c r="G21" s="15" t="s">
        <v>116</v>
      </c>
      <c r="H21" s="1"/>
      <c r="I21" s="5" t="s">
        <v>130</v>
      </c>
    </row>
    <row r="22" spans="2:9" ht="14.25" customHeight="1">
      <c r="B22" s="1"/>
      <c r="C22" s="5" t="s">
        <v>53</v>
      </c>
      <c r="D22" s="5" t="s">
        <v>131</v>
      </c>
      <c r="E22" s="1"/>
      <c r="F22" s="1"/>
      <c r="G22" s="5" t="s">
        <v>132</v>
      </c>
      <c r="H22" s="1"/>
      <c r="I22" s="5" t="s">
        <v>133</v>
      </c>
    </row>
    <row r="23" spans="2:9" ht="14.25" customHeight="1">
      <c r="B23" s="1"/>
      <c r="C23" s="5" t="s">
        <v>53</v>
      </c>
      <c r="D23" s="5" t="s">
        <v>134</v>
      </c>
      <c r="E23" s="1"/>
      <c r="F23" s="1"/>
      <c r="G23" s="5" t="s">
        <v>135</v>
      </c>
      <c r="H23" s="1"/>
      <c r="I23" s="5" t="s">
        <v>136</v>
      </c>
    </row>
    <row r="24" spans="2:9" ht="14.25" customHeight="1">
      <c r="B24" s="1"/>
      <c r="C24" s="5" t="s">
        <v>58</v>
      </c>
      <c r="D24" s="5" t="s">
        <v>137</v>
      </c>
      <c r="E24" s="1"/>
      <c r="F24" s="1"/>
      <c r="G24" s="5" t="s">
        <v>138</v>
      </c>
      <c r="H24" s="1"/>
      <c r="I24" s="5" t="s">
        <v>139</v>
      </c>
    </row>
    <row r="25" spans="2:9" ht="14.25" customHeight="1">
      <c r="B25" s="1"/>
      <c r="C25" s="5" t="s">
        <v>58</v>
      </c>
      <c r="D25" s="5" t="s">
        <v>140</v>
      </c>
      <c r="E25" s="1"/>
      <c r="F25" s="1"/>
      <c r="G25" s="5" t="s">
        <v>141</v>
      </c>
      <c r="H25" s="1"/>
      <c r="I25" s="5" t="s">
        <v>142</v>
      </c>
    </row>
    <row r="26" spans="2:9" ht="14.25" customHeight="1">
      <c r="B26" s="1"/>
      <c r="C26" s="5" t="s">
        <v>63</v>
      </c>
      <c r="D26" s="5" t="s">
        <v>143</v>
      </c>
      <c r="E26" s="1"/>
      <c r="F26" s="1"/>
      <c r="G26" s="5" t="s">
        <v>144</v>
      </c>
      <c r="H26" s="1"/>
      <c r="I26" s="5" t="s">
        <v>145</v>
      </c>
    </row>
    <row r="27" spans="2:9" ht="14.25" customHeight="1">
      <c r="B27" s="1"/>
      <c r="C27" s="5" t="s">
        <v>67</v>
      </c>
      <c r="D27" s="5" t="s">
        <v>146</v>
      </c>
      <c r="E27" s="1"/>
      <c r="F27" s="1"/>
      <c r="G27" s="5" t="s">
        <v>112</v>
      </c>
      <c r="H27" s="1"/>
      <c r="I27" s="5" t="s">
        <v>147</v>
      </c>
    </row>
    <row r="28" spans="2:9" ht="18" customHeight="1">
      <c r="B28" s="1"/>
      <c r="C28" s="5" t="s">
        <v>71</v>
      </c>
      <c r="D28" s="5" t="s">
        <v>148</v>
      </c>
      <c r="E28" s="1"/>
      <c r="F28" s="1"/>
      <c r="G28" s="15" t="s">
        <v>116</v>
      </c>
      <c r="H28" s="1"/>
      <c r="I28" s="5" t="s">
        <v>149</v>
      </c>
    </row>
    <row r="29" spans="2:9" ht="15.75" customHeight="1">
      <c r="B29" s="64" t="s">
        <v>150</v>
      </c>
      <c r="C29" s="49"/>
      <c r="D29" s="49"/>
      <c r="E29" s="49"/>
      <c r="F29" s="49"/>
      <c r="G29" s="49"/>
      <c r="H29" s="49"/>
      <c r="I29" s="43"/>
    </row>
    <row r="30" spans="2:9" ht="18" customHeight="1">
      <c r="B30" s="1"/>
      <c r="C30" s="5" t="s">
        <v>58</v>
      </c>
      <c r="D30" s="5" t="s">
        <v>151</v>
      </c>
      <c r="E30" s="1"/>
      <c r="F30" s="1"/>
      <c r="G30" s="5" t="s">
        <v>152</v>
      </c>
      <c r="H30" s="1"/>
      <c r="I30" s="5" t="s">
        <v>153</v>
      </c>
    </row>
    <row r="31" spans="2:9" ht="18" customHeight="1">
      <c r="B31" s="1"/>
      <c r="C31" s="5" t="s">
        <v>63</v>
      </c>
      <c r="D31" s="5" t="s">
        <v>154</v>
      </c>
      <c r="E31" s="1"/>
      <c r="F31" s="1"/>
      <c r="G31" s="5" t="s">
        <v>155</v>
      </c>
      <c r="H31" s="1"/>
      <c r="I31" s="5" t="s">
        <v>156</v>
      </c>
    </row>
    <row r="32" spans="2:9" ht="18" customHeight="1">
      <c r="B32" s="1"/>
      <c r="C32" s="5" t="s">
        <v>67</v>
      </c>
      <c r="D32" s="5" t="s">
        <v>157</v>
      </c>
      <c r="E32" s="1"/>
      <c r="F32" s="1"/>
      <c r="G32" s="5" t="s">
        <v>158</v>
      </c>
      <c r="H32" s="1"/>
      <c r="I32" s="5" t="s">
        <v>159</v>
      </c>
    </row>
    <row r="33" spans="2:9" ht="15.75" customHeight="1">
      <c r="B33" s="64" t="s">
        <v>160</v>
      </c>
      <c r="C33" s="49"/>
      <c r="D33" s="49"/>
      <c r="E33" s="49"/>
      <c r="F33" s="49"/>
      <c r="G33" s="49"/>
      <c r="H33" s="49"/>
      <c r="I33" s="43"/>
    </row>
    <row r="34" spans="2:9" ht="18" customHeight="1">
      <c r="B34" s="1"/>
      <c r="C34" s="5" t="s">
        <v>53</v>
      </c>
      <c r="D34" s="5" t="s">
        <v>161</v>
      </c>
      <c r="E34" s="1"/>
      <c r="F34" s="1"/>
      <c r="G34" s="5" t="s">
        <v>162</v>
      </c>
      <c r="H34" s="1"/>
      <c r="I34" s="5" t="s">
        <v>163</v>
      </c>
    </row>
    <row r="35" spans="2:9" ht="18" customHeight="1">
      <c r="B35" s="1"/>
      <c r="C35" s="5" t="s">
        <v>58</v>
      </c>
      <c r="D35" s="5" t="s">
        <v>164</v>
      </c>
      <c r="E35" s="1"/>
      <c r="F35" s="1"/>
      <c r="G35" s="5" t="s">
        <v>165</v>
      </c>
      <c r="H35" s="1"/>
      <c r="I35" s="5" t="s">
        <v>166</v>
      </c>
    </row>
    <row r="36" spans="2:9" ht="18" customHeight="1">
      <c r="B36" s="1"/>
      <c r="C36" s="5" t="s">
        <v>63</v>
      </c>
      <c r="D36" s="5" t="s">
        <v>167</v>
      </c>
      <c r="E36" s="1"/>
      <c r="F36" s="1"/>
      <c r="G36" s="5" t="s">
        <v>168</v>
      </c>
      <c r="H36" s="1"/>
      <c r="I36" s="5" t="s">
        <v>169</v>
      </c>
    </row>
    <row r="37" spans="2:9" ht="18" customHeight="1">
      <c r="B37" s="1"/>
      <c r="C37" s="1"/>
      <c r="D37" s="1"/>
      <c r="E37" s="1"/>
      <c r="F37" s="1"/>
      <c r="G37" s="1"/>
      <c r="H37" s="1"/>
      <c r="I37" s="1"/>
    </row>
    <row r="38" spans="2:9" ht="15.75" customHeight="1">
      <c r="B38" s="64" t="s">
        <v>170</v>
      </c>
      <c r="C38" s="49"/>
      <c r="D38" s="49"/>
      <c r="E38" s="49"/>
      <c r="F38" s="49"/>
      <c r="G38" s="49"/>
      <c r="H38" s="49"/>
      <c r="I38" s="43"/>
    </row>
    <row r="39" spans="2:9" ht="18" customHeight="1">
      <c r="B39" s="1"/>
      <c r="C39" s="1"/>
      <c r="D39" s="1"/>
      <c r="E39" s="1"/>
      <c r="F39" s="1"/>
      <c r="G39" s="1"/>
      <c r="H39" s="1"/>
      <c r="I39" s="1"/>
    </row>
    <row r="40" spans="2:9" ht="18" customHeight="1">
      <c r="B40" s="1"/>
      <c r="C40" s="1"/>
      <c r="D40" s="1"/>
      <c r="E40" s="1"/>
      <c r="F40" s="1"/>
      <c r="G40" s="1"/>
      <c r="H40" s="1"/>
      <c r="I40" s="1"/>
    </row>
    <row r="41" spans="2:9" ht="18" customHeight="1">
      <c r="B41" s="1"/>
      <c r="C41" s="1"/>
      <c r="D41" s="1"/>
      <c r="E41" s="1"/>
      <c r="F41" s="1"/>
      <c r="G41" s="1"/>
      <c r="H41" s="1"/>
      <c r="I41" s="1"/>
    </row>
    <row r="42" spans="2:9" ht="14.25" customHeight="1"/>
    <row r="43" spans="2:9" ht="21.75" customHeight="1">
      <c r="B43" s="17" t="s">
        <v>171</v>
      </c>
      <c r="C43" s="18"/>
      <c r="D43" s="18"/>
      <c r="E43" s="18"/>
      <c r="F43" s="18"/>
      <c r="G43" s="18"/>
      <c r="H43" s="18"/>
      <c r="I43" s="19"/>
    </row>
    <row r="44" spans="2:9" ht="13.5" customHeight="1">
      <c r="B44" s="56" t="s">
        <v>172</v>
      </c>
      <c r="C44" s="57"/>
      <c r="D44" s="57"/>
      <c r="E44" s="57"/>
      <c r="F44" s="57"/>
      <c r="G44" s="57"/>
      <c r="H44" s="57"/>
      <c r="I44" s="57"/>
    </row>
    <row r="45" spans="2:9" ht="19.5" customHeight="1">
      <c r="B45" s="20" t="s">
        <v>173</v>
      </c>
      <c r="C45" s="20" t="s">
        <v>174</v>
      </c>
      <c r="D45" s="20" t="s">
        <v>175</v>
      </c>
      <c r="E45" s="65" t="s">
        <v>176</v>
      </c>
      <c r="F45" s="49"/>
      <c r="G45" s="49"/>
      <c r="H45" s="49"/>
      <c r="I45" s="43"/>
    </row>
    <row r="46" spans="2:9" ht="21.75" customHeight="1">
      <c r="B46" s="66" t="s">
        <v>177</v>
      </c>
      <c r="C46" s="49"/>
      <c r="D46" s="43"/>
      <c r="E46" s="50" t="s">
        <v>178</v>
      </c>
      <c r="F46" s="49"/>
      <c r="G46" s="49"/>
      <c r="H46" s="49"/>
      <c r="I46" s="43"/>
    </row>
    <row r="47" spans="2:9" ht="21.75" customHeight="1">
      <c r="B47" s="54" t="s">
        <v>179</v>
      </c>
      <c r="C47" s="49"/>
      <c r="D47" s="43"/>
      <c r="E47" s="50" t="s">
        <v>180</v>
      </c>
      <c r="F47" s="49"/>
      <c r="G47" s="49"/>
      <c r="H47" s="49"/>
      <c r="I47" s="43"/>
    </row>
    <row r="48" spans="2:9" ht="21.75" customHeight="1">
      <c r="B48" s="54" t="s">
        <v>181</v>
      </c>
      <c r="C48" s="49"/>
      <c r="D48" s="43"/>
      <c r="E48" s="50" t="s">
        <v>182</v>
      </c>
      <c r="F48" s="49"/>
      <c r="G48" s="49"/>
      <c r="H48" s="49"/>
      <c r="I48" s="43"/>
    </row>
    <row r="49" spans="2:9" ht="21.75" customHeight="1">
      <c r="B49" s="54" t="s">
        <v>183</v>
      </c>
      <c r="C49" s="49"/>
      <c r="D49" s="43"/>
      <c r="E49" s="50" t="s">
        <v>184</v>
      </c>
      <c r="F49" s="49"/>
      <c r="G49" s="49"/>
      <c r="H49" s="49"/>
      <c r="I49" s="43"/>
    </row>
    <row r="50" spans="2:9" ht="21.75" customHeight="1">
      <c r="B50" s="66" t="s">
        <v>185</v>
      </c>
      <c r="C50" s="49"/>
      <c r="D50" s="43"/>
      <c r="E50" s="50" t="s">
        <v>171</v>
      </c>
      <c r="F50" s="49"/>
      <c r="G50" s="49"/>
      <c r="H50" s="49"/>
      <c r="I50" s="43"/>
    </row>
    <row r="51" spans="2:9" ht="21.75" customHeight="1">
      <c r="B51" s="54" t="s">
        <v>179</v>
      </c>
      <c r="C51" s="49"/>
      <c r="D51" s="43"/>
      <c r="E51" s="50" t="s">
        <v>186</v>
      </c>
      <c r="F51" s="49"/>
      <c r="G51" s="49"/>
      <c r="H51" s="49"/>
      <c r="I51" s="43"/>
    </row>
    <row r="52" spans="2:9" ht="21.75" customHeight="1">
      <c r="B52" s="54" t="s">
        <v>181</v>
      </c>
      <c r="C52" s="49"/>
      <c r="D52" s="43"/>
      <c r="E52" s="50" t="s">
        <v>187</v>
      </c>
      <c r="F52" s="49"/>
      <c r="G52" s="49"/>
      <c r="H52" s="49"/>
      <c r="I52" s="43"/>
    </row>
    <row r="53" spans="2:9" ht="21.75" customHeight="1">
      <c r="B53" s="54" t="s">
        <v>183</v>
      </c>
      <c r="C53" s="49"/>
      <c r="D53" s="43"/>
      <c r="E53" s="50" t="s">
        <v>188</v>
      </c>
      <c r="F53" s="49"/>
      <c r="G53" s="49"/>
      <c r="H53" s="49"/>
      <c r="I53" s="43"/>
    </row>
    <row r="54" spans="2:9" ht="21.75" customHeight="1">
      <c r="B54" s="66" t="s">
        <v>189</v>
      </c>
      <c r="C54" s="49"/>
      <c r="D54" s="43"/>
      <c r="E54" s="50" t="s">
        <v>190</v>
      </c>
      <c r="F54" s="49"/>
      <c r="G54" s="49"/>
      <c r="H54" s="49"/>
      <c r="I54" s="43"/>
    </row>
    <row r="55" spans="2:9" ht="21.75" customHeight="1">
      <c r="B55" s="54" t="s">
        <v>179</v>
      </c>
      <c r="C55" s="49"/>
      <c r="D55" s="43"/>
      <c r="E55" s="50" t="s">
        <v>191</v>
      </c>
      <c r="F55" s="49"/>
      <c r="G55" s="49"/>
      <c r="H55" s="49"/>
      <c r="I55" s="43"/>
    </row>
    <row r="56" spans="2:9" ht="21.75" customHeight="1">
      <c r="B56" s="54" t="s">
        <v>181</v>
      </c>
      <c r="C56" s="49"/>
      <c r="D56" s="43"/>
      <c r="E56" s="50" t="s">
        <v>192</v>
      </c>
      <c r="F56" s="49"/>
      <c r="G56" s="49"/>
      <c r="H56" s="49"/>
      <c r="I56" s="43"/>
    </row>
    <row r="57" spans="2:9" ht="21.75" customHeight="1">
      <c r="B57" s="54" t="s">
        <v>183</v>
      </c>
      <c r="C57" s="49"/>
      <c r="D57" s="43"/>
      <c r="E57" s="50" t="s">
        <v>193</v>
      </c>
      <c r="F57" s="49"/>
      <c r="G57" s="49"/>
      <c r="H57" s="49"/>
      <c r="I57" s="43"/>
    </row>
    <row r="58" spans="2:9" ht="21.75" customHeight="1">
      <c r="B58" s="66" t="s">
        <v>194</v>
      </c>
      <c r="C58" s="49"/>
      <c r="D58" s="43"/>
      <c r="E58" s="50" t="s">
        <v>195</v>
      </c>
      <c r="F58" s="49"/>
      <c r="G58" s="49"/>
      <c r="H58" s="49"/>
      <c r="I58" s="43"/>
    </row>
    <row r="59" spans="2:9" ht="21.75" customHeight="1">
      <c r="B59" s="54" t="s">
        <v>179</v>
      </c>
      <c r="C59" s="49"/>
      <c r="D59" s="43"/>
      <c r="E59" s="50" t="s">
        <v>196</v>
      </c>
      <c r="F59" s="49"/>
      <c r="G59" s="49"/>
      <c r="H59" s="49"/>
      <c r="I59" s="43"/>
    </row>
    <row r="60" spans="2:9" ht="21.75" customHeight="1">
      <c r="B60" s="54" t="s">
        <v>181</v>
      </c>
      <c r="C60" s="49"/>
      <c r="D60" s="43"/>
      <c r="E60" s="50" t="s">
        <v>197</v>
      </c>
      <c r="F60" s="49"/>
      <c r="G60" s="49"/>
      <c r="H60" s="49"/>
      <c r="I60" s="43"/>
    </row>
    <row r="61" spans="2:9" ht="21.75" customHeight="1">
      <c r="B61" s="54" t="s">
        <v>183</v>
      </c>
      <c r="C61" s="49"/>
      <c r="D61" s="43"/>
      <c r="E61" s="50" t="s">
        <v>198</v>
      </c>
      <c r="F61" s="49"/>
      <c r="G61" s="49"/>
      <c r="H61" s="49"/>
      <c r="I61" s="43"/>
    </row>
    <row r="62" spans="2:9" ht="14.25" customHeight="1">
      <c r="E62" s="50"/>
      <c r="F62" s="49"/>
      <c r="G62" s="49"/>
      <c r="H62" s="49"/>
      <c r="I62" s="43"/>
    </row>
    <row r="63" spans="2:9" ht="21.75" customHeight="1">
      <c r="B63" s="55" t="s">
        <v>199</v>
      </c>
      <c r="C63" s="49"/>
      <c r="D63" s="49"/>
      <c r="E63" s="49"/>
      <c r="F63" s="49"/>
      <c r="G63" s="49"/>
      <c r="H63" s="49"/>
      <c r="I63" s="43"/>
    </row>
    <row r="64" spans="2:9" ht="13.5" customHeight="1">
      <c r="B64" s="56" t="s">
        <v>200</v>
      </c>
      <c r="C64" s="57"/>
      <c r="D64" s="57"/>
      <c r="E64" s="57"/>
      <c r="F64" s="57"/>
      <c r="G64" s="57"/>
      <c r="H64" s="57"/>
      <c r="I64" s="57"/>
    </row>
    <row r="65" spans="2:9" ht="18" customHeight="1">
      <c r="B65" s="58" t="s">
        <v>201</v>
      </c>
      <c r="C65" s="49"/>
      <c r="D65" s="49"/>
      <c r="E65" s="49"/>
      <c r="F65" s="49"/>
      <c r="G65" s="49"/>
      <c r="H65" s="49"/>
      <c r="I65" s="43"/>
    </row>
    <row r="66" spans="2:9" ht="18" customHeight="1">
      <c r="B66" s="53" t="s">
        <v>202</v>
      </c>
      <c r="C66" s="49"/>
      <c r="D66" s="43"/>
      <c r="E66" s="59" t="s">
        <v>203</v>
      </c>
      <c r="F66" s="57"/>
      <c r="G66" s="57"/>
      <c r="H66" s="57"/>
      <c r="I66" s="57"/>
    </row>
    <row r="67" spans="2:9" ht="18" customHeight="1">
      <c r="B67" s="53" t="s">
        <v>204</v>
      </c>
      <c r="C67" s="49"/>
      <c r="D67" s="43"/>
      <c r="E67" s="59" t="s">
        <v>205</v>
      </c>
      <c r="F67" s="57"/>
      <c r="G67" s="57"/>
      <c r="H67" s="57"/>
      <c r="I67" s="57"/>
    </row>
    <row r="68" spans="2:9" ht="18" customHeight="1">
      <c r="B68" s="53" t="s">
        <v>206</v>
      </c>
      <c r="C68" s="49"/>
      <c r="D68" s="43"/>
      <c r="E68" s="59" t="s">
        <v>207</v>
      </c>
      <c r="F68" s="57"/>
      <c r="G68" s="57"/>
      <c r="H68" s="57"/>
      <c r="I68" s="57"/>
    </row>
    <row r="69" spans="2:9" ht="18" customHeight="1">
      <c r="B69" s="53" t="s">
        <v>208</v>
      </c>
      <c r="C69" s="49"/>
      <c r="D69" s="43"/>
      <c r="E69" s="59" t="s">
        <v>209</v>
      </c>
      <c r="F69" s="57"/>
      <c r="G69" s="57"/>
      <c r="H69" s="57"/>
      <c r="I69" s="57"/>
    </row>
    <row r="70" spans="2:9" ht="18" customHeight="1">
      <c r="B70" s="53" t="s">
        <v>210</v>
      </c>
      <c r="C70" s="49"/>
      <c r="D70" s="43"/>
      <c r="E70" s="59" t="s">
        <v>211</v>
      </c>
      <c r="F70" s="57"/>
      <c r="G70" s="57"/>
      <c r="H70" s="57"/>
      <c r="I70" s="57"/>
    </row>
    <row r="71" spans="2:9" ht="14.25" customHeight="1"/>
    <row r="72" spans="2:9" ht="18" customHeight="1">
      <c r="B72" s="58" t="s">
        <v>212</v>
      </c>
      <c r="C72" s="49"/>
      <c r="D72" s="49"/>
      <c r="E72" s="49"/>
      <c r="F72" s="49"/>
      <c r="G72" s="49"/>
      <c r="H72" s="49"/>
      <c r="I72" s="43"/>
    </row>
    <row r="73" spans="2:9" ht="18" customHeight="1">
      <c r="B73" s="53" t="s">
        <v>202</v>
      </c>
      <c r="C73" s="49"/>
      <c r="D73" s="43"/>
      <c r="E73" s="59" t="s">
        <v>213</v>
      </c>
      <c r="F73" s="57"/>
      <c r="G73" s="57"/>
      <c r="H73" s="57"/>
      <c r="I73" s="57"/>
    </row>
    <row r="74" spans="2:9" ht="18" customHeight="1">
      <c r="B74" s="53" t="s">
        <v>204</v>
      </c>
      <c r="C74" s="49"/>
      <c r="D74" s="43"/>
      <c r="E74" s="59" t="s">
        <v>214</v>
      </c>
      <c r="F74" s="57"/>
      <c r="G74" s="57"/>
      <c r="H74" s="57"/>
      <c r="I74" s="57"/>
    </row>
    <row r="75" spans="2:9" ht="18" customHeight="1">
      <c r="B75" s="53" t="s">
        <v>206</v>
      </c>
      <c r="C75" s="49"/>
      <c r="D75" s="43"/>
      <c r="E75" s="59" t="s">
        <v>215</v>
      </c>
      <c r="F75" s="57"/>
      <c r="G75" s="57"/>
      <c r="H75" s="57"/>
      <c r="I75" s="57"/>
    </row>
    <row r="76" spans="2:9" ht="18" customHeight="1">
      <c r="B76" s="53" t="s">
        <v>208</v>
      </c>
      <c r="C76" s="49"/>
      <c r="D76" s="43"/>
      <c r="E76" s="59" t="s">
        <v>216</v>
      </c>
      <c r="F76" s="57"/>
      <c r="G76" s="57"/>
      <c r="H76" s="57"/>
      <c r="I76" s="57"/>
    </row>
    <row r="77" spans="2:9" ht="18" customHeight="1">
      <c r="B77" s="53" t="s">
        <v>210</v>
      </c>
      <c r="C77" s="49"/>
      <c r="D77" s="43"/>
      <c r="E77" s="59" t="s">
        <v>217</v>
      </c>
      <c r="F77" s="57"/>
      <c r="G77" s="57"/>
      <c r="H77" s="57"/>
      <c r="I77" s="57"/>
    </row>
    <row r="78" spans="2:9" ht="14.25" customHeight="1"/>
    <row r="79" spans="2:9" ht="18" customHeight="1">
      <c r="B79" s="58" t="s">
        <v>218</v>
      </c>
      <c r="C79" s="49"/>
      <c r="D79" s="49"/>
      <c r="E79" s="49"/>
      <c r="F79" s="49"/>
      <c r="G79" s="49"/>
      <c r="H79" s="49"/>
      <c r="I79" s="43"/>
    </row>
    <row r="80" spans="2:9" ht="18" customHeight="1">
      <c r="B80" s="53" t="s">
        <v>202</v>
      </c>
      <c r="C80" s="49"/>
      <c r="D80" s="43"/>
      <c r="E80" s="54" t="s">
        <v>219</v>
      </c>
      <c r="F80" s="49"/>
      <c r="G80" s="49"/>
      <c r="H80" s="49"/>
      <c r="I80" s="43"/>
    </row>
    <row r="81" spans="2:9" ht="18" customHeight="1">
      <c r="B81" s="53" t="s">
        <v>204</v>
      </c>
      <c r="C81" s="49"/>
      <c r="D81" s="43"/>
      <c r="E81" s="54" t="s">
        <v>220</v>
      </c>
      <c r="F81" s="49"/>
      <c r="G81" s="49"/>
      <c r="H81" s="49"/>
      <c r="I81" s="43"/>
    </row>
    <row r="82" spans="2:9" ht="18" customHeight="1">
      <c r="B82" s="53" t="s">
        <v>206</v>
      </c>
      <c r="C82" s="49"/>
      <c r="D82" s="43"/>
      <c r="E82" s="54" t="s">
        <v>221</v>
      </c>
      <c r="F82" s="49"/>
      <c r="G82" s="49"/>
      <c r="H82" s="49"/>
      <c r="I82" s="43"/>
    </row>
    <row r="83" spans="2:9" ht="18" customHeight="1">
      <c r="B83" s="53" t="s">
        <v>208</v>
      </c>
      <c r="C83" s="49"/>
      <c r="D83" s="43"/>
      <c r="E83" s="54" t="s">
        <v>222</v>
      </c>
      <c r="F83" s="49"/>
      <c r="G83" s="49"/>
      <c r="H83" s="49"/>
      <c r="I83" s="43"/>
    </row>
    <row r="84" spans="2:9" ht="18" customHeight="1">
      <c r="B84" s="53" t="s">
        <v>210</v>
      </c>
      <c r="C84" s="49"/>
      <c r="D84" s="43"/>
      <c r="E84" s="54" t="s">
        <v>223</v>
      </c>
      <c r="F84" s="49"/>
      <c r="G84" s="49"/>
      <c r="H84" s="49"/>
      <c r="I84" s="43"/>
    </row>
    <row r="85" spans="2:9" ht="14.25" customHeight="1"/>
    <row r="86" spans="2:9" ht="18" customHeight="1">
      <c r="B86" s="58" t="s">
        <v>224</v>
      </c>
      <c r="C86" s="49"/>
      <c r="D86" s="49"/>
      <c r="E86" s="49"/>
      <c r="F86" s="49"/>
      <c r="G86" s="49"/>
      <c r="H86" s="49"/>
      <c r="I86" s="43"/>
    </row>
    <row r="87" spans="2:9" ht="18" customHeight="1">
      <c r="B87" s="53" t="s">
        <v>202</v>
      </c>
      <c r="C87" s="49"/>
      <c r="D87" s="43"/>
      <c r="E87" s="54" t="s">
        <v>225</v>
      </c>
      <c r="F87" s="49"/>
      <c r="G87" s="49"/>
      <c r="H87" s="49"/>
      <c r="I87" s="43"/>
    </row>
    <row r="88" spans="2:9" ht="18" customHeight="1">
      <c r="B88" s="53" t="s">
        <v>204</v>
      </c>
      <c r="C88" s="49"/>
      <c r="D88" s="43"/>
      <c r="E88" s="54" t="s">
        <v>226</v>
      </c>
      <c r="F88" s="49"/>
      <c r="G88" s="49"/>
      <c r="H88" s="49"/>
      <c r="I88" s="43"/>
    </row>
    <row r="89" spans="2:9" ht="18" customHeight="1">
      <c r="B89" s="53" t="s">
        <v>206</v>
      </c>
      <c r="C89" s="49"/>
      <c r="D89" s="43"/>
      <c r="E89" s="54" t="s">
        <v>227</v>
      </c>
      <c r="F89" s="49"/>
      <c r="G89" s="49"/>
      <c r="H89" s="49"/>
      <c r="I89" s="43"/>
    </row>
    <row r="90" spans="2:9" ht="18" customHeight="1">
      <c r="B90" s="53" t="s">
        <v>208</v>
      </c>
      <c r="C90" s="49"/>
      <c r="D90" s="43"/>
      <c r="E90" s="54" t="s">
        <v>228</v>
      </c>
      <c r="F90" s="49"/>
      <c r="G90" s="49"/>
      <c r="H90" s="49"/>
      <c r="I90" s="43"/>
    </row>
    <row r="91" spans="2:9" ht="18" customHeight="1">
      <c r="B91" s="53" t="s">
        <v>210</v>
      </c>
      <c r="C91" s="49"/>
      <c r="D91" s="43"/>
      <c r="E91" s="54" t="s">
        <v>229</v>
      </c>
      <c r="F91" s="49"/>
      <c r="G91" s="49"/>
      <c r="H91" s="49"/>
      <c r="I91" s="43"/>
    </row>
    <row r="92" spans="2:9" ht="14.25" customHeight="1"/>
    <row r="93" spans="2:9" ht="18" customHeight="1">
      <c r="B93" s="58" t="s">
        <v>230</v>
      </c>
      <c r="C93" s="49"/>
      <c r="D93" s="49"/>
      <c r="E93" s="49"/>
      <c r="F93" s="49"/>
      <c r="G93" s="49"/>
      <c r="H93" s="49"/>
      <c r="I93" s="43"/>
    </row>
    <row r="94" spans="2:9" ht="18" customHeight="1">
      <c r="B94" s="53" t="s">
        <v>202</v>
      </c>
      <c r="C94" s="49"/>
      <c r="D94" s="43"/>
      <c r="E94" s="54" t="s">
        <v>231</v>
      </c>
      <c r="F94" s="49"/>
      <c r="G94" s="49"/>
      <c r="H94" s="49"/>
      <c r="I94" s="43"/>
    </row>
    <row r="95" spans="2:9" ht="18" customHeight="1">
      <c r="B95" s="53" t="s">
        <v>204</v>
      </c>
      <c r="C95" s="49"/>
      <c r="D95" s="43"/>
      <c r="E95" s="54" t="s">
        <v>232</v>
      </c>
      <c r="F95" s="49"/>
      <c r="G95" s="49"/>
      <c r="H95" s="49"/>
      <c r="I95" s="43"/>
    </row>
    <row r="96" spans="2:9" ht="18" customHeight="1">
      <c r="B96" s="53" t="s">
        <v>206</v>
      </c>
      <c r="C96" s="49"/>
      <c r="D96" s="43"/>
      <c r="E96" s="54" t="s">
        <v>233</v>
      </c>
      <c r="F96" s="49"/>
      <c r="G96" s="49"/>
      <c r="H96" s="49"/>
      <c r="I96" s="43"/>
    </row>
    <row r="97" spans="2:9" ht="18" customHeight="1">
      <c r="B97" s="53" t="s">
        <v>208</v>
      </c>
      <c r="C97" s="49"/>
      <c r="D97" s="43"/>
      <c r="E97" s="54" t="s">
        <v>234</v>
      </c>
      <c r="F97" s="49"/>
      <c r="G97" s="49"/>
      <c r="H97" s="49"/>
      <c r="I97" s="43"/>
    </row>
    <row r="98" spans="2:9" ht="18" customHeight="1">
      <c r="B98" s="53" t="s">
        <v>210</v>
      </c>
      <c r="C98" s="49"/>
      <c r="D98" s="43"/>
      <c r="E98" s="54" t="s">
        <v>235</v>
      </c>
      <c r="F98" s="49"/>
      <c r="G98" s="49"/>
      <c r="H98" s="49"/>
      <c r="I98" s="43"/>
    </row>
    <row r="99" spans="2:9" ht="14.25" customHeight="1"/>
    <row r="100" spans="2:9" ht="15.75" customHeight="1">
      <c r="B100" s="60" t="s">
        <v>236</v>
      </c>
      <c r="C100" s="49"/>
      <c r="D100" s="49"/>
      <c r="E100" s="49"/>
      <c r="F100" s="49"/>
      <c r="G100" s="49"/>
      <c r="H100" s="49"/>
      <c r="I100" s="43"/>
    </row>
    <row r="101" spans="2:9" ht="14.25" customHeight="1"/>
    <row r="102" spans="2:9" ht="14.25" customHeight="1"/>
    <row r="103" spans="2:9" ht="14.25" customHeight="1"/>
    <row r="104" spans="2:9" ht="14.25" customHeight="1"/>
    <row r="105" spans="2:9" ht="14.25" customHeight="1"/>
    <row r="106" spans="2:9" ht="14.25" customHeight="1"/>
    <row r="107" spans="2:9" ht="14.25" customHeight="1"/>
    <row r="108" spans="2:9" ht="14.25" customHeight="1"/>
    <row r="109" spans="2:9" ht="14.25" customHeight="1"/>
    <row r="110" spans="2:9" ht="14.25" customHeight="1"/>
    <row r="111" spans="2:9" ht="14.25" customHeight="1"/>
    <row r="112" spans="2:9"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105">
    <mergeCell ref="B53:D53"/>
    <mergeCell ref="B54:D54"/>
    <mergeCell ref="B55:D55"/>
    <mergeCell ref="B56:D56"/>
    <mergeCell ref="B57:D57"/>
    <mergeCell ref="B58:D58"/>
    <mergeCell ref="E53:I53"/>
    <mergeCell ref="E54:I54"/>
    <mergeCell ref="E55:I55"/>
    <mergeCell ref="E56:I56"/>
    <mergeCell ref="E57:I57"/>
    <mergeCell ref="E58:I58"/>
    <mergeCell ref="B48:D48"/>
    <mergeCell ref="E48:I48"/>
    <mergeCell ref="B49:D49"/>
    <mergeCell ref="E49:I49"/>
    <mergeCell ref="B50:D50"/>
    <mergeCell ref="E50:I50"/>
    <mergeCell ref="B51:D51"/>
    <mergeCell ref="E51:I51"/>
    <mergeCell ref="E52:I52"/>
    <mergeCell ref="B52:D52"/>
    <mergeCell ref="B29:I29"/>
    <mergeCell ref="B33:I33"/>
    <mergeCell ref="B38:I38"/>
    <mergeCell ref="B44:I44"/>
    <mergeCell ref="E45:I45"/>
    <mergeCell ref="B46:D46"/>
    <mergeCell ref="E46:I46"/>
    <mergeCell ref="B47:D47"/>
    <mergeCell ref="E47:I47"/>
    <mergeCell ref="B2:I2"/>
    <mergeCell ref="B3:I3"/>
    <mergeCell ref="B5:I5"/>
    <mergeCell ref="B6:I6"/>
    <mergeCell ref="B17:I17"/>
    <mergeCell ref="B18:I18"/>
    <mergeCell ref="G19:H19"/>
    <mergeCell ref="D19:F19"/>
    <mergeCell ref="B20:I20"/>
    <mergeCell ref="B96:D96"/>
    <mergeCell ref="E96:I96"/>
    <mergeCell ref="B97:D97"/>
    <mergeCell ref="E97:I97"/>
    <mergeCell ref="B98:D98"/>
    <mergeCell ref="E98:I98"/>
    <mergeCell ref="B100:I100"/>
    <mergeCell ref="E90:I90"/>
    <mergeCell ref="E91:I91"/>
    <mergeCell ref="B93:I93"/>
    <mergeCell ref="B94:D94"/>
    <mergeCell ref="E94:I94"/>
    <mergeCell ref="B95:D95"/>
    <mergeCell ref="E95:I95"/>
    <mergeCell ref="B89:D89"/>
    <mergeCell ref="B90:D90"/>
    <mergeCell ref="B91:D91"/>
    <mergeCell ref="E84:I84"/>
    <mergeCell ref="B86:I86"/>
    <mergeCell ref="B87:D87"/>
    <mergeCell ref="E87:I87"/>
    <mergeCell ref="B88:D88"/>
    <mergeCell ref="E88:I88"/>
    <mergeCell ref="E89:I89"/>
    <mergeCell ref="B76:D76"/>
    <mergeCell ref="E76:I76"/>
    <mergeCell ref="B77:D77"/>
    <mergeCell ref="E77:I77"/>
    <mergeCell ref="B79:I79"/>
    <mergeCell ref="B83:D83"/>
    <mergeCell ref="B84:D84"/>
    <mergeCell ref="B80:D80"/>
    <mergeCell ref="E80:I80"/>
    <mergeCell ref="B81:D81"/>
    <mergeCell ref="E81:I81"/>
    <mergeCell ref="B82:D82"/>
    <mergeCell ref="E82:I82"/>
    <mergeCell ref="E83:I83"/>
    <mergeCell ref="E66:I66"/>
    <mergeCell ref="B70:D70"/>
    <mergeCell ref="E70:I70"/>
    <mergeCell ref="B72:I72"/>
    <mergeCell ref="B73:D73"/>
    <mergeCell ref="E73:I73"/>
    <mergeCell ref="B74:D74"/>
    <mergeCell ref="E74:I74"/>
    <mergeCell ref="B75:D75"/>
    <mergeCell ref="E75:I75"/>
    <mergeCell ref="B66:D66"/>
    <mergeCell ref="B67:D67"/>
    <mergeCell ref="E67:I67"/>
    <mergeCell ref="B68:D68"/>
    <mergeCell ref="E68:I68"/>
    <mergeCell ref="B69:D69"/>
    <mergeCell ref="E69:I69"/>
    <mergeCell ref="B59:D59"/>
    <mergeCell ref="B60:D60"/>
    <mergeCell ref="B61:D61"/>
    <mergeCell ref="E60:I60"/>
    <mergeCell ref="E61:I61"/>
    <mergeCell ref="E62:I62"/>
    <mergeCell ref="B63:I63"/>
    <mergeCell ref="B64:I64"/>
    <mergeCell ref="B65:I65"/>
    <mergeCell ref="E59:I59"/>
  </mergeCells>
  <hyperlinks>
    <hyperlink ref="F12" r:id="rId1"/>
    <hyperlink ref="G21" r:id="rId2"/>
    <hyperlink ref="G28" r:id="rId3"/>
  </hyperlink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4"/>
  <sheetViews>
    <sheetView showGridLines="0" workbookViewId="0"/>
  </sheetViews>
  <sheetFormatPr defaultColWidth="14.42578125" defaultRowHeight="15" customHeight="1"/>
  <cols>
    <col min="1" max="1" width="3" customWidth="1"/>
    <col min="2" max="2" width="12" customWidth="1"/>
    <col min="3" max="3" width="6" customWidth="1"/>
    <col min="4" max="4" width="12.7109375" customWidth="1"/>
    <col min="5" max="5" width="54.140625" customWidth="1"/>
    <col min="6" max="6" width="27.140625" customWidth="1"/>
    <col min="7" max="7" width="16.5703125" customWidth="1"/>
    <col min="8" max="8" width="44.85546875" customWidth="1"/>
    <col min="9" max="9" width="27.5703125" customWidth="1"/>
    <col min="10" max="26" width="8.5703125" customWidth="1"/>
  </cols>
  <sheetData>
    <row r="1" spans="2:9" ht="13.5" customHeight="1"/>
    <row r="2" spans="2:9" ht="33.75" customHeight="1">
      <c r="B2" s="61" t="s">
        <v>237</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24.75" customHeight="1">
      <c r="B8" s="21">
        <v>46191</v>
      </c>
      <c r="C8" s="5" t="s">
        <v>53</v>
      </c>
      <c r="D8" s="5" t="s">
        <v>95</v>
      </c>
      <c r="E8" s="5" t="s">
        <v>238</v>
      </c>
      <c r="F8" s="5" t="s">
        <v>158</v>
      </c>
      <c r="G8" s="5" t="s">
        <v>98</v>
      </c>
      <c r="H8" s="5" t="s">
        <v>239</v>
      </c>
      <c r="I8" s="5" t="s">
        <v>240</v>
      </c>
    </row>
    <row r="9" spans="2:9" ht="24.75" customHeight="1">
      <c r="B9" s="21">
        <v>46192</v>
      </c>
      <c r="C9" s="5" t="s">
        <v>58</v>
      </c>
      <c r="D9" s="5" t="s">
        <v>95</v>
      </c>
      <c r="E9" s="5" t="s">
        <v>241</v>
      </c>
      <c r="F9" s="5" t="s">
        <v>242</v>
      </c>
      <c r="G9" s="5" t="s">
        <v>103</v>
      </c>
      <c r="H9" s="5" t="s">
        <v>243</v>
      </c>
      <c r="I9" s="5" t="s">
        <v>244</v>
      </c>
    </row>
    <row r="10" spans="2:9" ht="24.75" customHeight="1">
      <c r="B10" s="21">
        <v>46193</v>
      </c>
      <c r="C10" s="5" t="s">
        <v>63</v>
      </c>
      <c r="D10" s="5" t="s">
        <v>110</v>
      </c>
      <c r="E10" s="5" t="s">
        <v>245</v>
      </c>
      <c r="F10" s="5" t="s">
        <v>246</v>
      </c>
      <c r="G10" s="5" t="s">
        <v>98</v>
      </c>
      <c r="H10" s="5" t="s">
        <v>247</v>
      </c>
      <c r="I10" s="5" t="s">
        <v>248</v>
      </c>
    </row>
    <row r="11" spans="2:9" ht="24.75" customHeight="1">
      <c r="B11" s="21">
        <v>46195</v>
      </c>
      <c r="C11" s="5" t="s">
        <v>67</v>
      </c>
      <c r="D11" s="5" t="s">
        <v>95</v>
      </c>
      <c r="E11" s="5" t="s">
        <v>249</v>
      </c>
      <c r="F11" s="5" t="s">
        <v>250</v>
      </c>
      <c r="G11" s="5" t="s">
        <v>98</v>
      </c>
      <c r="H11" s="5" t="s">
        <v>251</v>
      </c>
      <c r="I11" s="5" t="s">
        <v>252</v>
      </c>
    </row>
    <row r="12" spans="2:9" ht="24.75" customHeight="1">
      <c r="B12" s="21">
        <v>46196</v>
      </c>
      <c r="C12" s="5" t="s">
        <v>71</v>
      </c>
      <c r="D12" s="5" t="s">
        <v>95</v>
      </c>
      <c r="E12" s="5" t="s">
        <v>253</v>
      </c>
      <c r="F12" s="5" t="s">
        <v>254</v>
      </c>
      <c r="G12" s="5" t="s">
        <v>117</v>
      </c>
      <c r="H12" s="5" t="s">
        <v>255</v>
      </c>
      <c r="I12" s="5" t="s">
        <v>256</v>
      </c>
    </row>
    <row r="13" spans="2:9" ht="18" customHeight="1">
      <c r="B13" s="21">
        <v>46197</v>
      </c>
      <c r="C13" s="5" t="s">
        <v>53</v>
      </c>
      <c r="D13" s="5" t="s">
        <v>95</v>
      </c>
      <c r="E13" s="5" t="s">
        <v>257</v>
      </c>
      <c r="F13" s="5" t="s">
        <v>258</v>
      </c>
      <c r="G13" s="5" t="s">
        <v>117</v>
      </c>
      <c r="H13" s="5" t="s">
        <v>259</v>
      </c>
      <c r="I13" s="5" t="s">
        <v>260</v>
      </c>
    </row>
    <row r="14" spans="2:9" ht="18" customHeight="1">
      <c r="B14" s="1"/>
      <c r="C14" s="1"/>
      <c r="D14" s="1"/>
      <c r="E14" s="1"/>
      <c r="F14" s="1"/>
      <c r="G14" s="1"/>
      <c r="H14" s="1"/>
      <c r="I14" s="1"/>
    </row>
    <row r="15" spans="2:9" ht="18" customHeight="1">
      <c r="B15" s="1"/>
      <c r="C15" s="1"/>
      <c r="D15" s="1"/>
      <c r="E15" s="1"/>
      <c r="F15" s="1"/>
      <c r="G15" s="1"/>
      <c r="H15" s="1"/>
      <c r="I15" s="1"/>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5" t="s">
        <v>53</v>
      </c>
      <c r="E21" s="5" t="s">
        <v>261</v>
      </c>
      <c r="F21" s="1"/>
      <c r="G21" s="5"/>
      <c r="H21" s="5" t="s">
        <v>158</v>
      </c>
      <c r="I21" s="5" t="s">
        <v>262</v>
      </c>
    </row>
    <row r="22" spans="2:9" ht="18" customHeight="1">
      <c r="B22" s="1"/>
      <c r="C22" s="5" t="s">
        <v>58</v>
      </c>
      <c r="E22" s="5" t="s">
        <v>263</v>
      </c>
      <c r="F22" s="1"/>
      <c r="G22" s="5"/>
      <c r="H22" s="5" t="s">
        <v>242</v>
      </c>
      <c r="I22" s="5" t="s">
        <v>264</v>
      </c>
    </row>
    <row r="23" spans="2:9" ht="18" customHeight="1">
      <c r="B23" s="1"/>
      <c r="C23" s="5" t="s">
        <v>58</v>
      </c>
      <c r="E23" s="5" t="s">
        <v>265</v>
      </c>
      <c r="F23" s="1"/>
      <c r="G23" s="5"/>
      <c r="H23" s="5" t="s">
        <v>250</v>
      </c>
      <c r="I23" s="5" t="s">
        <v>266</v>
      </c>
    </row>
    <row r="24" spans="2:9" ht="18" customHeight="1">
      <c r="B24" s="1"/>
      <c r="C24" s="5" t="s">
        <v>63</v>
      </c>
      <c r="E24" s="5" t="s">
        <v>267</v>
      </c>
      <c r="F24" s="1"/>
      <c r="G24" s="5"/>
      <c r="H24" s="5" t="s">
        <v>268</v>
      </c>
      <c r="I24" s="5" t="s">
        <v>269</v>
      </c>
    </row>
    <row r="25" spans="2:9" ht="18" customHeight="1">
      <c r="B25" s="1"/>
      <c r="C25" s="5" t="s">
        <v>63</v>
      </c>
      <c r="E25" s="5" t="s">
        <v>270</v>
      </c>
      <c r="F25" s="1"/>
      <c r="G25" s="5"/>
      <c r="H25" s="5" t="s">
        <v>271</v>
      </c>
      <c r="I25" s="5" t="s">
        <v>272</v>
      </c>
    </row>
    <row r="26" spans="2:9" ht="18" customHeight="1">
      <c r="B26" s="1"/>
      <c r="C26" s="5" t="s">
        <v>67</v>
      </c>
      <c r="E26" s="5" t="s">
        <v>273</v>
      </c>
      <c r="F26" s="1"/>
      <c r="G26" s="5"/>
      <c r="H26" s="5" t="s">
        <v>274</v>
      </c>
      <c r="I26" s="5" t="s">
        <v>275</v>
      </c>
    </row>
    <row r="27" spans="2:9" ht="18" customHeight="1">
      <c r="B27" s="1"/>
      <c r="C27" s="5" t="s">
        <v>71</v>
      </c>
      <c r="E27" s="5" t="s">
        <v>276</v>
      </c>
      <c r="F27" s="1"/>
      <c r="G27" s="5"/>
      <c r="H27" s="5" t="s">
        <v>254</v>
      </c>
      <c r="I27" s="5" t="s">
        <v>277</v>
      </c>
    </row>
    <row r="28" spans="2:9" ht="15.75" customHeight="1">
      <c r="B28" s="64" t="s">
        <v>150</v>
      </c>
      <c r="C28" s="49"/>
      <c r="D28" s="49"/>
      <c r="E28" s="49"/>
      <c r="F28" s="49"/>
      <c r="G28" s="49"/>
      <c r="H28" s="49"/>
      <c r="I28" s="43"/>
    </row>
    <row r="29" spans="2:9" ht="18" customHeight="1">
      <c r="B29" s="1"/>
      <c r="C29" s="5" t="s">
        <v>58</v>
      </c>
      <c r="E29" s="5" t="s">
        <v>278</v>
      </c>
      <c r="F29" s="1"/>
      <c r="G29" s="1"/>
      <c r="H29" s="22" t="s">
        <v>242</v>
      </c>
      <c r="I29" s="22" t="s">
        <v>279</v>
      </c>
    </row>
    <row r="30" spans="2:9" ht="18" customHeight="1">
      <c r="B30" s="1"/>
      <c r="C30" s="5" t="s">
        <v>63</v>
      </c>
      <c r="E30" s="5" t="s">
        <v>280</v>
      </c>
      <c r="F30" s="1"/>
      <c r="G30" s="1"/>
      <c r="H30" s="22" t="s">
        <v>250</v>
      </c>
      <c r="I30" s="22" t="s">
        <v>281</v>
      </c>
    </row>
    <row r="31" spans="2:9" ht="18" customHeight="1">
      <c r="B31" s="1"/>
      <c r="C31" s="5" t="s">
        <v>67</v>
      </c>
      <c r="E31" s="5" t="s">
        <v>282</v>
      </c>
      <c r="F31" s="1"/>
      <c r="G31" s="1"/>
      <c r="H31" s="22" t="s">
        <v>158</v>
      </c>
      <c r="I31" s="22" t="s">
        <v>283</v>
      </c>
    </row>
    <row r="32" spans="2:9" ht="15.75" customHeight="1">
      <c r="B32" s="64" t="s">
        <v>160</v>
      </c>
      <c r="C32" s="49"/>
      <c r="D32" s="49"/>
      <c r="E32" s="49"/>
      <c r="F32" s="49"/>
      <c r="G32" s="49"/>
      <c r="H32" s="49"/>
      <c r="I32" s="43"/>
    </row>
    <row r="33" spans="2:9" ht="18" customHeight="1">
      <c r="B33" s="1"/>
      <c r="C33" s="5" t="s">
        <v>53</v>
      </c>
      <c r="E33" s="5" t="s">
        <v>284</v>
      </c>
      <c r="F33" s="1"/>
      <c r="G33" s="1"/>
      <c r="H33" s="22" t="s">
        <v>242</v>
      </c>
      <c r="I33" s="5" t="s">
        <v>285</v>
      </c>
    </row>
    <row r="34" spans="2:9" ht="18" customHeight="1">
      <c r="B34" s="1"/>
      <c r="C34" s="5" t="s">
        <v>63</v>
      </c>
      <c r="E34" s="5" t="s">
        <v>286</v>
      </c>
      <c r="F34" s="1"/>
      <c r="G34" s="1"/>
      <c r="H34" s="22" t="s">
        <v>250</v>
      </c>
      <c r="I34" s="5" t="s">
        <v>287</v>
      </c>
    </row>
    <row r="35" spans="2:9" ht="18" customHeight="1">
      <c r="B35" s="1"/>
      <c r="C35" s="5" t="s">
        <v>67</v>
      </c>
      <c r="E35" s="5" t="s">
        <v>288</v>
      </c>
      <c r="F35" s="1"/>
      <c r="G35" s="1"/>
      <c r="H35" s="22" t="s">
        <v>250</v>
      </c>
      <c r="I35" s="5" t="s">
        <v>289</v>
      </c>
    </row>
    <row r="36" spans="2:9" ht="15.75" customHeight="1">
      <c r="B36" s="64" t="s">
        <v>170</v>
      </c>
      <c r="C36" s="49"/>
      <c r="D36" s="49"/>
      <c r="E36" s="49"/>
      <c r="F36" s="49"/>
      <c r="G36" s="49"/>
      <c r="H36" s="49"/>
      <c r="I36" s="43"/>
    </row>
    <row r="37" spans="2:9" ht="18" customHeight="1">
      <c r="B37" s="1"/>
      <c r="C37" s="1"/>
      <c r="D37" s="1"/>
      <c r="E37" s="1"/>
      <c r="F37" s="1"/>
      <c r="G37" s="1"/>
      <c r="H37" s="1"/>
      <c r="I37" s="1"/>
    </row>
    <row r="38" spans="2:9" ht="18" customHeight="1">
      <c r="B38" s="1"/>
      <c r="C38" s="1"/>
      <c r="D38" s="1"/>
      <c r="E38" s="1"/>
      <c r="F38" s="1"/>
      <c r="G38" s="1"/>
      <c r="H38" s="1"/>
      <c r="I38" s="1"/>
    </row>
    <row r="39" spans="2:9" ht="18" customHeight="1">
      <c r="B39" s="1"/>
      <c r="C39" s="1"/>
      <c r="D39" s="1"/>
      <c r="E39" s="1"/>
      <c r="F39" s="1"/>
      <c r="G39" s="1"/>
      <c r="H39" s="1"/>
      <c r="I39" s="1"/>
    </row>
    <row r="40" spans="2:9" ht="14.25" customHeight="1"/>
    <row r="41" spans="2:9" ht="21.75" customHeight="1">
      <c r="B41" s="47" t="s">
        <v>290</v>
      </c>
      <c r="C41" s="49"/>
      <c r="D41" s="49"/>
      <c r="E41" s="49"/>
      <c r="F41" s="49"/>
      <c r="G41" s="49"/>
      <c r="H41" s="49"/>
      <c r="I41" s="43"/>
    </row>
    <row r="42" spans="2:9" ht="13.5" customHeight="1">
      <c r="B42" s="56" t="s">
        <v>172</v>
      </c>
      <c r="C42" s="57"/>
      <c r="D42" s="57"/>
      <c r="E42" s="57"/>
      <c r="F42" s="57"/>
      <c r="G42" s="57"/>
      <c r="H42" s="57"/>
      <c r="I42" s="57"/>
    </row>
    <row r="43" spans="2:9" ht="19.5" customHeight="1">
      <c r="B43" s="20" t="s">
        <v>173</v>
      </c>
      <c r="C43" s="20" t="s">
        <v>174</v>
      </c>
      <c r="D43" s="20" t="s">
        <v>175</v>
      </c>
      <c r="E43" s="65" t="s">
        <v>176</v>
      </c>
      <c r="F43" s="49"/>
      <c r="G43" s="49"/>
      <c r="H43" s="49"/>
      <c r="I43" s="43"/>
    </row>
    <row r="44" spans="2:9" ht="21.75" customHeight="1">
      <c r="B44" s="66" t="s">
        <v>291</v>
      </c>
      <c r="C44" s="49"/>
      <c r="D44" s="43"/>
      <c r="E44" s="50" t="s">
        <v>292</v>
      </c>
      <c r="F44" s="49"/>
      <c r="G44" s="49"/>
      <c r="H44" s="49"/>
      <c r="I44" s="43"/>
    </row>
    <row r="45" spans="2:9" ht="21.75" customHeight="1">
      <c r="B45" s="54" t="s">
        <v>179</v>
      </c>
      <c r="C45" s="49"/>
      <c r="D45" s="43"/>
      <c r="E45" s="50" t="s">
        <v>293</v>
      </c>
      <c r="F45" s="49"/>
      <c r="G45" s="49"/>
      <c r="H45" s="49"/>
      <c r="I45" s="43"/>
    </row>
    <row r="46" spans="2:9" ht="21.75" customHeight="1">
      <c r="B46" s="54" t="s">
        <v>181</v>
      </c>
      <c r="C46" s="49"/>
      <c r="D46" s="43"/>
      <c r="E46" s="50" t="s">
        <v>294</v>
      </c>
      <c r="F46" s="49"/>
      <c r="G46" s="49"/>
      <c r="H46" s="49"/>
      <c r="I46" s="43"/>
    </row>
    <row r="47" spans="2:9" ht="21.75" customHeight="1">
      <c r="B47" s="54" t="s">
        <v>183</v>
      </c>
      <c r="C47" s="49"/>
      <c r="D47" s="43"/>
      <c r="E47" s="50" t="s">
        <v>295</v>
      </c>
      <c r="F47" s="49"/>
      <c r="G47" s="49"/>
      <c r="H47" s="49"/>
      <c r="I47" s="43"/>
    </row>
    <row r="48" spans="2:9" ht="21.75" customHeight="1">
      <c r="B48" s="66" t="s">
        <v>185</v>
      </c>
      <c r="C48" s="49"/>
      <c r="D48" s="43"/>
      <c r="E48" s="50" t="s">
        <v>296</v>
      </c>
      <c r="F48" s="49"/>
      <c r="G48" s="49"/>
      <c r="H48" s="49"/>
      <c r="I48" s="43"/>
    </row>
    <row r="49" spans="2:9" ht="21.75" customHeight="1">
      <c r="B49" s="54" t="s">
        <v>179</v>
      </c>
      <c r="C49" s="49"/>
      <c r="D49" s="43"/>
      <c r="E49" s="50" t="s">
        <v>297</v>
      </c>
      <c r="F49" s="49"/>
      <c r="G49" s="49"/>
      <c r="H49" s="49"/>
      <c r="I49" s="43"/>
    </row>
    <row r="50" spans="2:9" ht="21.75" customHeight="1">
      <c r="B50" s="54" t="s">
        <v>181</v>
      </c>
      <c r="C50" s="49"/>
      <c r="D50" s="43"/>
      <c r="E50" s="50" t="s">
        <v>298</v>
      </c>
      <c r="F50" s="49"/>
      <c r="G50" s="49"/>
      <c r="H50" s="49"/>
      <c r="I50" s="43"/>
    </row>
    <row r="51" spans="2:9" ht="21.75" customHeight="1">
      <c r="B51" s="54" t="s">
        <v>183</v>
      </c>
      <c r="C51" s="49"/>
      <c r="D51" s="43"/>
      <c r="E51" s="50" t="s">
        <v>299</v>
      </c>
      <c r="F51" s="49"/>
      <c r="G51" s="49"/>
      <c r="H51" s="49"/>
      <c r="I51" s="43"/>
    </row>
    <row r="52" spans="2:9" ht="21.75" customHeight="1">
      <c r="B52" s="66" t="s">
        <v>189</v>
      </c>
      <c r="C52" s="49"/>
      <c r="D52" s="43"/>
      <c r="E52" s="50" t="s">
        <v>300</v>
      </c>
      <c r="F52" s="49"/>
      <c r="G52" s="49"/>
      <c r="H52" s="49"/>
      <c r="I52" s="43"/>
    </row>
    <row r="53" spans="2:9" ht="21.75" customHeight="1">
      <c r="B53" s="54" t="s">
        <v>179</v>
      </c>
      <c r="C53" s="49"/>
      <c r="D53" s="43"/>
      <c r="E53" s="50" t="s">
        <v>301</v>
      </c>
      <c r="F53" s="49"/>
      <c r="G53" s="49"/>
      <c r="H53" s="49"/>
      <c r="I53" s="43"/>
    </row>
    <row r="54" spans="2:9" ht="21.75" customHeight="1">
      <c r="B54" s="54" t="s">
        <v>181</v>
      </c>
      <c r="C54" s="49"/>
      <c r="D54" s="43"/>
      <c r="E54" s="50" t="s">
        <v>302</v>
      </c>
      <c r="F54" s="49"/>
      <c r="G54" s="49"/>
      <c r="H54" s="49"/>
      <c r="I54" s="43"/>
    </row>
    <row r="55" spans="2:9" ht="21.75" customHeight="1">
      <c r="B55" s="54" t="s">
        <v>183</v>
      </c>
      <c r="C55" s="49"/>
      <c r="D55" s="43"/>
      <c r="E55" s="50" t="s">
        <v>303</v>
      </c>
      <c r="F55" s="49"/>
      <c r="G55" s="49"/>
      <c r="H55" s="49"/>
      <c r="I55" s="43"/>
    </row>
    <row r="56" spans="2:9" ht="21.75" customHeight="1">
      <c r="B56" s="66" t="s">
        <v>194</v>
      </c>
      <c r="C56" s="49"/>
      <c r="D56" s="43"/>
      <c r="E56" s="50" t="s">
        <v>304</v>
      </c>
      <c r="F56" s="49"/>
      <c r="G56" s="49"/>
      <c r="H56" s="49"/>
      <c r="I56" s="43"/>
    </row>
    <row r="57" spans="2:9" ht="21.75" customHeight="1">
      <c r="B57" s="54" t="s">
        <v>179</v>
      </c>
      <c r="C57" s="49"/>
      <c r="D57" s="43"/>
      <c r="E57" s="50" t="s">
        <v>305</v>
      </c>
      <c r="F57" s="49"/>
      <c r="G57" s="49"/>
      <c r="H57" s="49"/>
      <c r="I57" s="43"/>
    </row>
    <row r="58" spans="2:9" ht="21.75" customHeight="1">
      <c r="B58" s="54" t="s">
        <v>181</v>
      </c>
      <c r="C58" s="49"/>
      <c r="D58" s="43"/>
      <c r="E58" s="50" t="s">
        <v>306</v>
      </c>
      <c r="F58" s="49"/>
      <c r="G58" s="49"/>
      <c r="H58" s="49"/>
      <c r="I58" s="43"/>
    </row>
    <row r="59" spans="2:9" ht="21.75" customHeight="1">
      <c r="B59" s="54" t="s">
        <v>183</v>
      </c>
      <c r="C59" s="49"/>
      <c r="D59" s="43"/>
      <c r="E59" s="50" t="s">
        <v>307</v>
      </c>
      <c r="F59" s="49"/>
      <c r="G59" s="49"/>
      <c r="H59" s="49"/>
      <c r="I59" s="43"/>
    </row>
    <row r="60" spans="2:9" ht="14.25" customHeight="1">
      <c r="E60" s="50"/>
      <c r="F60" s="49"/>
      <c r="G60" s="49"/>
      <c r="H60" s="49"/>
      <c r="I60" s="43"/>
    </row>
    <row r="61" spans="2:9" ht="21.75" customHeight="1">
      <c r="B61" s="55" t="s">
        <v>199</v>
      </c>
      <c r="C61" s="49"/>
      <c r="D61" s="49"/>
      <c r="E61" s="49"/>
      <c r="F61" s="49"/>
      <c r="G61" s="49"/>
      <c r="H61" s="49"/>
      <c r="I61" s="43"/>
    </row>
    <row r="62" spans="2:9" ht="13.5" customHeight="1">
      <c r="B62" s="56" t="s">
        <v>200</v>
      </c>
      <c r="C62" s="57"/>
      <c r="D62" s="57"/>
      <c r="E62" s="57"/>
      <c r="F62" s="57"/>
      <c r="G62" s="57"/>
      <c r="H62" s="57"/>
      <c r="I62" s="57"/>
    </row>
    <row r="63" spans="2:9" ht="18" customHeight="1">
      <c r="B63" s="58" t="s">
        <v>201</v>
      </c>
      <c r="C63" s="49"/>
      <c r="D63" s="49"/>
      <c r="E63" s="49"/>
      <c r="F63" s="49"/>
      <c r="G63" s="49"/>
      <c r="H63" s="49"/>
      <c r="I63" s="43"/>
    </row>
    <row r="64" spans="2:9" ht="18" customHeight="1">
      <c r="B64" s="53" t="s">
        <v>202</v>
      </c>
      <c r="C64" s="49"/>
      <c r="D64" s="43"/>
      <c r="E64" s="59" t="s">
        <v>308</v>
      </c>
      <c r="F64" s="57"/>
      <c r="G64" s="57"/>
      <c r="H64" s="57"/>
      <c r="I64" s="57"/>
    </row>
    <row r="65" spans="2:9" ht="18" customHeight="1">
      <c r="B65" s="53" t="s">
        <v>204</v>
      </c>
      <c r="C65" s="49"/>
      <c r="D65" s="43"/>
      <c r="E65" s="59" t="s">
        <v>309</v>
      </c>
      <c r="F65" s="57"/>
      <c r="G65" s="57"/>
      <c r="H65" s="57"/>
      <c r="I65" s="57"/>
    </row>
    <row r="66" spans="2:9" ht="18" customHeight="1">
      <c r="B66" s="53" t="s">
        <v>206</v>
      </c>
      <c r="C66" s="49"/>
      <c r="D66" s="43"/>
      <c r="E66" s="59" t="s">
        <v>310</v>
      </c>
      <c r="F66" s="57"/>
      <c r="G66" s="57"/>
      <c r="H66" s="57"/>
      <c r="I66" s="57"/>
    </row>
    <row r="67" spans="2:9" ht="18" customHeight="1">
      <c r="B67" s="53" t="s">
        <v>208</v>
      </c>
      <c r="C67" s="49"/>
      <c r="D67" s="43"/>
      <c r="E67" s="59" t="s">
        <v>311</v>
      </c>
      <c r="F67" s="57"/>
      <c r="G67" s="57"/>
      <c r="H67" s="57"/>
      <c r="I67" s="57"/>
    </row>
    <row r="68" spans="2:9" ht="18" customHeight="1">
      <c r="B68" s="53" t="s">
        <v>210</v>
      </c>
      <c r="C68" s="49"/>
      <c r="D68" s="43"/>
      <c r="E68" s="59" t="s">
        <v>312</v>
      </c>
      <c r="F68" s="57"/>
      <c r="G68" s="57"/>
      <c r="H68" s="57"/>
      <c r="I68" s="57"/>
    </row>
    <row r="69" spans="2:9" ht="14.25" customHeight="1"/>
    <row r="70" spans="2:9" ht="18" customHeight="1">
      <c r="B70" s="58" t="s">
        <v>212</v>
      </c>
      <c r="C70" s="49"/>
      <c r="D70" s="49"/>
      <c r="E70" s="49"/>
      <c r="F70" s="49"/>
      <c r="G70" s="49"/>
      <c r="H70" s="49"/>
      <c r="I70" s="43"/>
    </row>
    <row r="71" spans="2:9" ht="18" customHeight="1">
      <c r="B71" s="53" t="s">
        <v>202</v>
      </c>
      <c r="C71" s="49"/>
      <c r="D71" s="43"/>
      <c r="E71" s="59" t="s">
        <v>313</v>
      </c>
      <c r="F71" s="57"/>
      <c r="G71" s="57"/>
      <c r="H71" s="57"/>
      <c r="I71" s="57"/>
    </row>
    <row r="72" spans="2:9" ht="18" customHeight="1">
      <c r="B72" s="53" t="s">
        <v>204</v>
      </c>
      <c r="C72" s="49"/>
      <c r="D72" s="43"/>
      <c r="E72" s="59" t="s">
        <v>314</v>
      </c>
      <c r="F72" s="57"/>
      <c r="G72" s="57"/>
      <c r="H72" s="57"/>
      <c r="I72" s="57"/>
    </row>
    <row r="73" spans="2:9" ht="18" customHeight="1">
      <c r="B73" s="53" t="s">
        <v>206</v>
      </c>
      <c r="C73" s="49"/>
      <c r="D73" s="43"/>
      <c r="E73" s="59" t="s">
        <v>315</v>
      </c>
      <c r="F73" s="57"/>
      <c r="G73" s="57"/>
      <c r="H73" s="57"/>
      <c r="I73" s="57"/>
    </row>
    <row r="74" spans="2:9" ht="18" customHeight="1">
      <c r="B74" s="53" t="s">
        <v>208</v>
      </c>
      <c r="C74" s="49"/>
      <c r="D74" s="43"/>
      <c r="E74" s="59" t="s">
        <v>316</v>
      </c>
      <c r="F74" s="57"/>
      <c r="G74" s="57"/>
      <c r="H74" s="57"/>
      <c r="I74" s="57"/>
    </row>
    <row r="75" spans="2:9" ht="18" customHeight="1">
      <c r="B75" s="53" t="s">
        <v>210</v>
      </c>
      <c r="C75" s="49"/>
      <c r="D75" s="43"/>
      <c r="E75" s="17" t="s">
        <v>317</v>
      </c>
      <c r="F75" s="12"/>
      <c r="G75" s="12"/>
      <c r="H75" s="12"/>
      <c r="I75" s="12"/>
    </row>
    <row r="76" spans="2:9" ht="14.25" customHeight="1"/>
    <row r="77" spans="2:9" ht="18" customHeight="1">
      <c r="B77" s="58" t="s">
        <v>318</v>
      </c>
      <c r="C77" s="49"/>
      <c r="D77" s="49"/>
      <c r="E77" s="49"/>
      <c r="F77" s="49"/>
      <c r="G77" s="49"/>
      <c r="H77" s="49"/>
      <c r="I77" s="43"/>
    </row>
    <row r="78" spans="2:9" ht="18" customHeight="1">
      <c r="B78" s="53" t="s">
        <v>202</v>
      </c>
      <c r="C78" s="49"/>
      <c r="D78" s="43"/>
      <c r="E78" s="54" t="s">
        <v>319</v>
      </c>
      <c r="F78" s="49"/>
      <c r="G78" s="49"/>
      <c r="H78" s="49"/>
      <c r="I78" s="43"/>
    </row>
    <row r="79" spans="2:9" ht="18" customHeight="1">
      <c r="B79" s="53" t="s">
        <v>204</v>
      </c>
      <c r="C79" s="49"/>
      <c r="D79" s="43"/>
      <c r="E79" s="54" t="s">
        <v>320</v>
      </c>
      <c r="F79" s="49"/>
      <c r="G79" s="49"/>
      <c r="H79" s="49"/>
      <c r="I79" s="43"/>
    </row>
    <row r="80" spans="2:9" ht="18" customHeight="1">
      <c r="B80" s="53" t="s">
        <v>206</v>
      </c>
      <c r="C80" s="49"/>
      <c r="D80" s="43"/>
      <c r="E80" s="54" t="s">
        <v>321</v>
      </c>
      <c r="F80" s="49"/>
      <c r="G80" s="49"/>
      <c r="H80" s="49"/>
      <c r="I80" s="43"/>
    </row>
    <row r="81" spans="2:9" ht="18" customHeight="1">
      <c r="B81" s="53" t="s">
        <v>208</v>
      </c>
      <c r="C81" s="49"/>
      <c r="D81" s="43"/>
      <c r="E81" s="54" t="s">
        <v>322</v>
      </c>
      <c r="F81" s="49"/>
      <c r="G81" s="49"/>
      <c r="H81" s="49"/>
      <c r="I81" s="43"/>
    </row>
    <row r="82" spans="2:9" ht="18" customHeight="1">
      <c r="B82" s="53" t="s">
        <v>210</v>
      </c>
      <c r="C82" s="49"/>
      <c r="D82" s="43"/>
      <c r="E82" s="17" t="s">
        <v>323</v>
      </c>
      <c r="F82" s="24"/>
      <c r="G82" s="24"/>
      <c r="H82" s="24"/>
      <c r="I82" s="25"/>
    </row>
    <row r="83" spans="2:9" ht="14.25" customHeight="1"/>
    <row r="84" spans="2:9" ht="18" customHeight="1">
      <c r="B84" s="58" t="s">
        <v>224</v>
      </c>
      <c r="C84" s="49"/>
      <c r="D84" s="49"/>
      <c r="E84" s="49"/>
      <c r="F84" s="49"/>
      <c r="G84" s="49"/>
      <c r="H84" s="49"/>
      <c r="I84" s="43"/>
    </row>
    <row r="85" spans="2:9" ht="18" customHeight="1">
      <c r="B85" s="53" t="s">
        <v>202</v>
      </c>
      <c r="C85" s="49"/>
      <c r="D85" s="43"/>
      <c r="E85" s="54" t="s">
        <v>324</v>
      </c>
      <c r="F85" s="49"/>
      <c r="G85" s="49"/>
      <c r="H85" s="49"/>
      <c r="I85" s="43"/>
    </row>
    <row r="86" spans="2:9" ht="18" customHeight="1">
      <c r="B86" s="53" t="s">
        <v>204</v>
      </c>
      <c r="C86" s="49"/>
      <c r="D86" s="43"/>
      <c r="E86" s="54" t="s">
        <v>325</v>
      </c>
      <c r="F86" s="49"/>
      <c r="G86" s="49"/>
      <c r="H86" s="49"/>
      <c r="I86" s="43"/>
    </row>
    <row r="87" spans="2:9" ht="18" customHeight="1">
      <c r="B87" s="53" t="s">
        <v>206</v>
      </c>
      <c r="C87" s="49"/>
      <c r="D87" s="43"/>
      <c r="E87" s="17" t="s">
        <v>326</v>
      </c>
    </row>
    <row r="88" spans="2:9" ht="18" customHeight="1">
      <c r="B88" s="53" t="s">
        <v>208</v>
      </c>
      <c r="C88" s="49"/>
      <c r="D88" s="43"/>
      <c r="E88" s="54" t="s">
        <v>327</v>
      </c>
      <c r="F88" s="49"/>
      <c r="G88" s="49"/>
      <c r="H88" s="49"/>
      <c r="I88" s="43"/>
    </row>
    <row r="89" spans="2:9" ht="18" customHeight="1">
      <c r="B89" s="53" t="s">
        <v>210</v>
      </c>
      <c r="C89" s="49"/>
      <c r="D89" s="43"/>
      <c r="E89" s="54" t="s">
        <v>328</v>
      </c>
      <c r="F89" s="49"/>
      <c r="G89" s="49"/>
      <c r="H89" s="49"/>
      <c r="I89" s="43"/>
    </row>
    <row r="90" spans="2:9" ht="14.25" customHeight="1"/>
    <row r="91" spans="2:9" ht="18" customHeight="1">
      <c r="B91" s="58" t="s">
        <v>230</v>
      </c>
      <c r="C91" s="49"/>
      <c r="D91" s="49"/>
      <c r="E91" s="49"/>
      <c r="F91" s="49"/>
      <c r="G91" s="49"/>
      <c r="H91" s="49"/>
      <c r="I91" s="43"/>
    </row>
    <row r="92" spans="2:9" ht="18" customHeight="1">
      <c r="B92" s="53" t="s">
        <v>202</v>
      </c>
      <c r="C92" s="49"/>
      <c r="D92" s="43"/>
      <c r="E92" s="54" t="s">
        <v>329</v>
      </c>
      <c r="F92" s="49"/>
      <c r="G92" s="49"/>
      <c r="H92" s="49"/>
      <c r="I92" s="43"/>
    </row>
    <row r="93" spans="2:9" ht="18" customHeight="1">
      <c r="B93" s="53" t="s">
        <v>204</v>
      </c>
      <c r="C93" s="49"/>
      <c r="D93" s="43"/>
      <c r="E93" s="54" t="s">
        <v>330</v>
      </c>
      <c r="F93" s="49"/>
      <c r="G93" s="49"/>
      <c r="H93" s="49"/>
      <c r="I93" s="43"/>
    </row>
    <row r="94" spans="2:9" ht="18" customHeight="1">
      <c r="B94" s="53" t="s">
        <v>206</v>
      </c>
      <c r="C94" s="49"/>
      <c r="D94" s="43"/>
      <c r="E94" s="23" t="s">
        <v>331</v>
      </c>
      <c r="F94" s="24"/>
      <c r="G94" s="24"/>
      <c r="H94" s="24"/>
      <c r="I94" s="25"/>
    </row>
    <row r="95" spans="2:9" ht="18" customHeight="1">
      <c r="B95" s="53" t="s">
        <v>208</v>
      </c>
      <c r="C95" s="49"/>
      <c r="D95" s="43"/>
      <c r="E95" s="23" t="s">
        <v>332</v>
      </c>
      <c r="F95" s="24"/>
      <c r="G95" s="24"/>
      <c r="H95" s="24"/>
      <c r="I95" s="25"/>
    </row>
    <row r="96" spans="2:9" ht="18" customHeight="1">
      <c r="B96" s="53" t="s">
        <v>210</v>
      </c>
      <c r="C96" s="49"/>
      <c r="D96" s="43"/>
      <c r="E96" s="54" t="s">
        <v>333</v>
      </c>
      <c r="F96" s="49"/>
      <c r="G96" s="49"/>
      <c r="H96" s="49"/>
      <c r="I96" s="43"/>
    </row>
    <row r="97" spans="2:9" ht="14.25" customHeight="1"/>
    <row r="98" spans="2:9" ht="15.75" customHeight="1">
      <c r="B98" s="60" t="s">
        <v>334</v>
      </c>
      <c r="C98" s="49"/>
      <c r="D98" s="49"/>
      <c r="E98" s="49"/>
      <c r="F98" s="49"/>
      <c r="G98" s="49"/>
      <c r="H98" s="49"/>
      <c r="I98" s="43"/>
    </row>
    <row r="99" spans="2:9" ht="14.25" customHeight="1"/>
    <row r="100" spans="2:9" ht="14.25" customHeight="1"/>
    <row r="101" spans="2:9" ht="14.25" customHeight="1"/>
    <row r="102" spans="2:9" ht="14.25" customHeight="1"/>
    <row r="103" spans="2:9" ht="14.25" customHeight="1"/>
    <row r="104" spans="2:9" ht="14.25" customHeight="1"/>
    <row r="105" spans="2:9" ht="14.25" customHeight="1"/>
    <row r="106" spans="2:9" ht="14.25" customHeight="1"/>
    <row r="107" spans="2:9" ht="14.25" customHeight="1"/>
    <row r="108" spans="2:9" ht="14.25" customHeight="1"/>
    <row r="109" spans="2:9" ht="14.25" customHeight="1"/>
    <row r="110" spans="2:9" ht="14.25" customHeight="1"/>
    <row r="111" spans="2:9" ht="14.25" customHeight="1"/>
    <row r="112" spans="2:9"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01">
    <mergeCell ref="B51:D51"/>
    <mergeCell ref="B52:D52"/>
    <mergeCell ref="B53:D53"/>
    <mergeCell ref="B54:D54"/>
    <mergeCell ref="B55:D55"/>
    <mergeCell ref="B56:D56"/>
    <mergeCell ref="E51:I51"/>
    <mergeCell ref="E52:I52"/>
    <mergeCell ref="E53:I53"/>
    <mergeCell ref="E54:I54"/>
    <mergeCell ref="E55:I55"/>
    <mergeCell ref="E56:I56"/>
    <mergeCell ref="B46:D46"/>
    <mergeCell ref="E46:I46"/>
    <mergeCell ref="B47:D47"/>
    <mergeCell ref="E47:I47"/>
    <mergeCell ref="B48:D48"/>
    <mergeCell ref="E48:I48"/>
    <mergeCell ref="B49:D49"/>
    <mergeCell ref="E49:I49"/>
    <mergeCell ref="E50:I50"/>
    <mergeCell ref="B50:D50"/>
    <mergeCell ref="B28:I28"/>
    <mergeCell ref="B32:I32"/>
    <mergeCell ref="B36:I36"/>
    <mergeCell ref="B41:I41"/>
    <mergeCell ref="B42:I42"/>
    <mergeCell ref="E43:I43"/>
    <mergeCell ref="B44:D44"/>
    <mergeCell ref="E44:I44"/>
    <mergeCell ref="B45:D45"/>
    <mergeCell ref="E45:I45"/>
    <mergeCell ref="B2:I2"/>
    <mergeCell ref="B3:I3"/>
    <mergeCell ref="B5:I5"/>
    <mergeCell ref="B6:I6"/>
    <mergeCell ref="B17:I17"/>
    <mergeCell ref="B18:I18"/>
    <mergeCell ref="G19:H19"/>
    <mergeCell ref="D19:F19"/>
    <mergeCell ref="B20:I20"/>
    <mergeCell ref="B95:D95"/>
    <mergeCell ref="B96:D96"/>
    <mergeCell ref="E96:I96"/>
    <mergeCell ref="B98:I98"/>
    <mergeCell ref="E89:I89"/>
    <mergeCell ref="B91:I91"/>
    <mergeCell ref="B92:D92"/>
    <mergeCell ref="E92:I92"/>
    <mergeCell ref="B93:D93"/>
    <mergeCell ref="E93:I93"/>
    <mergeCell ref="B87:D87"/>
    <mergeCell ref="B88:D88"/>
    <mergeCell ref="B89:D89"/>
    <mergeCell ref="B84:I84"/>
    <mergeCell ref="B85:D85"/>
    <mergeCell ref="E85:I85"/>
    <mergeCell ref="B86:D86"/>
    <mergeCell ref="E86:I86"/>
    <mergeCell ref="B94:D94"/>
    <mergeCell ref="E88:I88"/>
    <mergeCell ref="B74:D74"/>
    <mergeCell ref="E74:I74"/>
    <mergeCell ref="B75:D75"/>
    <mergeCell ref="B77:I77"/>
    <mergeCell ref="B81:D81"/>
    <mergeCell ref="B82:D82"/>
    <mergeCell ref="B78:D78"/>
    <mergeCell ref="E78:I78"/>
    <mergeCell ref="B79:D79"/>
    <mergeCell ref="E79:I79"/>
    <mergeCell ref="B80:D80"/>
    <mergeCell ref="E80:I80"/>
    <mergeCell ref="E81:I81"/>
    <mergeCell ref="E64:I64"/>
    <mergeCell ref="B68:D68"/>
    <mergeCell ref="E68:I68"/>
    <mergeCell ref="B70:I70"/>
    <mergeCell ref="B71:D71"/>
    <mergeCell ref="E71:I71"/>
    <mergeCell ref="B72:D72"/>
    <mergeCell ref="E72:I72"/>
    <mergeCell ref="B73:D73"/>
    <mergeCell ref="E73:I73"/>
    <mergeCell ref="B64:D64"/>
    <mergeCell ref="B65:D65"/>
    <mergeCell ref="E65:I65"/>
    <mergeCell ref="B66:D66"/>
    <mergeCell ref="E66:I66"/>
    <mergeCell ref="B67:D67"/>
    <mergeCell ref="E67:I67"/>
    <mergeCell ref="B57:D57"/>
    <mergeCell ref="B58:D58"/>
    <mergeCell ref="B59:D59"/>
    <mergeCell ref="E58:I58"/>
    <mergeCell ref="E59:I59"/>
    <mergeCell ref="E60:I60"/>
    <mergeCell ref="B61:I61"/>
    <mergeCell ref="B62:I62"/>
    <mergeCell ref="B63:I63"/>
    <mergeCell ref="E57:I57"/>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2"/>
  <sheetViews>
    <sheetView showGridLines="0" workbookViewId="0"/>
  </sheetViews>
  <sheetFormatPr defaultColWidth="14.42578125" defaultRowHeight="15" customHeight="1"/>
  <cols>
    <col min="1" max="1" width="3" customWidth="1"/>
    <col min="2" max="2" width="12" customWidth="1"/>
    <col min="3" max="3" width="6" customWidth="1"/>
    <col min="4" max="4" width="12.7109375" customWidth="1"/>
    <col min="5" max="5" width="57.7109375" customWidth="1"/>
    <col min="6" max="6" width="20" customWidth="1"/>
    <col min="7" max="7" width="19.7109375" customWidth="1"/>
    <col min="8" max="8" width="50.42578125" customWidth="1"/>
    <col min="9" max="9" width="33.7109375" customWidth="1"/>
    <col min="10" max="26" width="8.5703125" customWidth="1"/>
  </cols>
  <sheetData>
    <row r="1" spans="2:9" ht="13.5" customHeight="1"/>
    <row r="2" spans="2:9" ht="33.75" customHeight="1">
      <c r="B2" s="61" t="s">
        <v>335</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18" customHeight="1">
      <c r="B8" s="21">
        <v>46197</v>
      </c>
      <c r="C8" s="5" t="s">
        <v>53</v>
      </c>
      <c r="D8" s="5" t="s">
        <v>95</v>
      </c>
      <c r="E8" s="5" t="s">
        <v>336</v>
      </c>
      <c r="F8" s="5" t="s">
        <v>250</v>
      </c>
      <c r="G8" s="5" t="s">
        <v>98</v>
      </c>
      <c r="H8" s="5" t="s">
        <v>251</v>
      </c>
      <c r="I8" s="5" t="s">
        <v>252</v>
      </c>
    </row>
    <row r="9" spans="2:9" ht="18" customHeight="1">
      <c r="B9" s="21">
        <v>46198</v>
      </c>
      <c r="C9" s="5" t="s">
        <v>58</v>
      </c>
      <c r="D9" s="5" t="s">
        <v>95</v>
      </c>
      <c r="E9" s="5" t="s">
        <v>337</v>
      </c>
      <c r="F9" s="5" t="s">
        <v>250</v>
      </c>
      <c r="G9" s="5" t="s">
        <v>103</v>
      </c>
      <c r="H9" s="5" t="s">
        <v>338</v>
      </c>
      <c r="I9" s="5" t="s">
        <v>339</v>
      </c>
    </row>
    <row r="10" spans="2:9" ht="18" customHeight="1">
      <c r="B10" s="21">
        <v>46199</v>
      </c>
      <c r="C10" s="5" t="s">
        <v>63</v>
      </c>
      <c r="D10" s="5" t="s">
        <v>110</v>
      </c>
      <c r="E10" s="5" t="s">
        <v>340</v>
      </c>
      <c r="F10" s="5" t="s">
        <v>341</v>
      </c>
      <c r="G10" s="5" t="s">
        <v>98</v>
      </c>
      <c r="H10" s="5" t="s">
        <v>342</v>
      </c>
      <c r="I10" s="5" t="s">
        <v>343</v>
      </c>
    </row>
    <row r="11" spans="2:9" ht="18" customHeight="1">
      <c r="B11" s="21">
        <v>46201</v>
      </c>
      <c r="C11" s="5" t="s">
        <v>67</v>
      </c>
      <c r="D11" s="5" t="s">
        <v>95</v>
      </c>
      <c r="E11" s="5" t="s">
        <v>344</v>
      </c>
      <c r="F11" s="5" t="s">
        <v>242</v>
      </c>
      <c r="G11" s="5" t="s">
        <v>98</v>
      </c>
      <c r="H11" s="5" t="s">
        <v>345</v>
      </c>
      <c r="I11" s="5" t="s">
        <v>346</v>
      </c>
    </row>
    <row r="12" spans="2:9" ht="18" customHeight="1">
      <c r="B12" s="21">
        <v>46202</v>
      </c>
      <c r="C12" s="5" t="s">
        <v>71</v>
      </c>
      <c r="D12" s="5" t="s">
        <v>95</v>
      </c>
      <c r="E12" s="5" t="s">
        <v>347</v>
      </c>
      <c r="F12" s="5" t="s">
        <v>158</v>
      </c>
      <c r="G12" s="5" t="s">
        <v>117</v>
      </c>
      <c r="H12" s="5" t="s">
        <v>348</v>
      </c>
      <c r="I12" s="5" t="s">
        <v>349</v>
      </c>
    </row>
    <row r="13" spans="2:9" ht="18" customHeight="1">
      <c r="B13" s="21">
        <v>46203</v>
      </c>
      <c r="C13" s="5" t="s">
        <v>53</v>
      </c>
      <c r="D13" s="5" t="s">
        <v>95</v>
      </c>
      <c r="E13" s="5" t="s">
        <v>350</v>
      </c>
      <c r="F13" s="5" t="s">
        <v>258</v>
      </c>
      <c r="G13" s="5" t="s">
        <v>117</v>
      </c>
      <c r="H13" s="5" t="s">
        <v>351</v>
      </c>
      <c r="I13" s="5" t="s">
        <v>352</v>
      </c>
    </row>
    <row r="14" spans="2:9" ht="18" customHeight="1">
      <c r="B14" s="1"/>
      <c r="C14" s="1"/>
      <c r="D14" s="1"/>
      <c r="E14" s="1"/>
      <c r="F14" s="1"/>
      <c r="G14" s="1"/>
      <c r="H14" s="1"/>
      <c r="I14" s="1"/>
    </row>
    <row r="15" spans="2:9" ht="18" customHeight="1">
      <c r="B15" s="1"/>
      <c r="C15" s="1"/>
      <c r="D15" s="1"/>
      <c r="E15" s="1"/>
      <c r="F15" s="1"/>
      <c r="G15" s="1"/>
      <c r="H15" s="1"/>
      <c r="I15" s="1"/>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5" t="s">
        <v>53</v>
      </c>
      <c r="E21" s="5" t="s">
        <v>353</v>
      </c>
      <c r="F21" s="1"/>
      <c r="G21" s="1"/>
      <c r="H21" s="5" t="s">
        <v>341</v>
      </c>
      <c r="I21" s="5" t="s">
        <v>354</v>
      </c>
    </row>
    <row r="22" spans="2:9" ht="18" customHeight="1">
      <c r="B22" s="1"/>
      <c r="C22" s="5" t="s">
        <v>58</v>
      </c>
      <c r="E22" s="5" t="s">
        <v>355</v>
      </c>
      <c r="F22" s="1"/>
      <c r="G22" s="1"/>
      <c r="H22" s="5" t="s">
        <v>250</v>
      </c>
      <c r="I22" s="5" t="s">
        <v>266</v>
      </c>
    </row>
    <row r="23" spans="2:9" ht="18" customHeight="1">
      <c r="B23" s="1"/>
      <c r="C23" s="5" t="s">
        <v>63</v>
      </c>
      <c r="E23" s="5" t="s">
        <v>356</v>
      </c>
      <c r="F23" s="1"/>
      <c r="G23" s="1"/>
      <c r="H23" s="5" t="s">
        <v>357</v>
      </c>
      <c r="I23" s="5" t="s">
        <v>358</v>
      </c>
    </row>
    <row r="24" spans="2:9" ht="18" customHeight="1">
      <c r="B24" s="1"/>
      <c r="C24" s="5" t="s">
        <v>67</v>
      </c>
      <c r="E24" s="5" t="s">
        <v>359</v>
      </c>
      <c r="F24" s="1"/>
      <c r="G24" s="1"/>
      <c r="H24" s="5" t="s">
        <v>268</v>
      </c>
      <c r="I24" s="5" t="s">
        <v>360</v>
      </c>
    </row>
    <row r="25" spans="2:9" ht="18" customHeight="1">
      <c r="B25" s="1"/>
      <c r="C25" s="5" t="s">
        <v>71</v>
      </c>
      <c r="E25" s="5" t="s">
        <v>361</v>
      </c>
      <c r="F25" s="1"/>
      <c r="G25" s="1"/>
      <c r="H25" s="5" t="s">
        <v>362</v>
      </c>
      <c r="I25" s="5" t="s">
        <v>363</v>
      </c>
    </row>
    <row r="26" spans="2:9" ht="15.75" customHeight="1">
      <c r="B26" s="64" t="s">
        <v>150</v>
      </c>
      <c r="C26" s="49"/>
      <c r="D26" s="49"/>
      <c r="E26" s="49"/>
      <c r="F26" s="49"/>
      <c r="G26" s="49"/>
      <c r="H26" s="49"/>
      <c r="I26" s="43"/>
    </row>
    <row r="27" spans="2:9" ht="18" customHeight="1">
      <c r="B27" s="1"/>
      <c r="C27" s="5" t="s">
        <v>58</v>
      </c>
      <c r="D27" s="5"/>
      <c r="E27" s="5" t="s">
        <v>364</v>
      </c>
      <c r="F27" s="1"/>
      <c r="G27" s="1"/>
      <c r="H27" s="5" t="s">
        <v>250</v>
      </c>
      <c r="I27" s="5" t="s">
        <v>365</v>
      </c>
    </row>
    <row r="28" spans="2:9" ht="18" customHeight="1">
      <c r="B28" s="1"/>
      <c r="C28" s="5" t="s">
        <v>63</v>
      </c>
      <c r="D28" s="5"/>
      <c r="E28" s="5" t="s">
        <v>366</v>
      </c>
      <c r="F28" s="1"/>
      <c r="G28" s="1"/>
      <c r="H28" s="5" t="s">
        <v>362</v>
      </c>
      <c r="I28" s="5" t="s">
        <v>367</v>
      </c>
    </row>
    <row r="29" spans="2:9" ht="18" customHeight="1">
      <c r="B29" s="1"/>
      <c r="C29" s="5" t="s">
        <v>67</v>
      </c>
      <c r="D29" s="5"/>
      <c r="E29" s="5" t="s">
        <v>368</v>
      </c>
      <c r="F29" s="1"/>
      <c r="G29" s="1"/>
      <c r="H29" s="5" t="s">
        <v>242</v>
      </c>
      <c r="I29" s="5" t="s">
        <v>369</v>
      </c>
    </row>
    <row r="30" spans="2:9" ht="15.75" customHeight="1">
      <c r="B30" s="64" t="s">
        <v>160</v>
      </c>
      <c r="C30" s="49"/>
      <c r="D30" s="49"/>
      <c r="E30" s="49"/>
      <c r="F30" s="49"/>
      <c r="G30" s="49"/>
      <c r="H30" s="49"/>
      <c r="I30" s="43"/>
    </row>
    <row r="31" spans="2:9" ht="18" customHeight="1">
      <c r="B31" s="1"/>
      <c r="C31" s="5" t="s">
        <v>53</v>
      </c>
      <c r="E31" s="5" t="s">
        <v>370</v>
      </c>
      <c r="F31" s="1"/>
      <c r="G31" s="1"/>
      <c r="H31" s="5" t="s">
        <v>250</v>
      </c>
      <c r="I31" s="5" t="s">
        <v>371</v>
      </c>
    </row>
    <row r="32" spans="2:9" ht="18" customHeight="1">
      <c r="B32" s="1"/>
      <c r="C32" s="5" t="s">
        <v>63</v>
      </c>
      <c r="E32" s="5" t="s">
        <v>286</v>
      </c>
      <c r="F32" s="1"/>
      <c r="G32" s="1"/>
      <c r="H32" s="5" t="s">
        <v>341</v>
      </c>
      <c r="I32" s="5" t="s">
        <v>287</v>
      </c>
    </row>
    <row r="33" spans="2:9" ht="18" customHeight="1">
      <c r="B33" s="1"/>
      <c r="C33" s="5" t="s">
        <v>67</v>
      </c>
      <c r="E33" s="5" t="s">
        <v>372</v>
      </c>
      <c r="F33" s="1"/>
      <c r="G33" s="1"/>
      <c r="H33" s="5" t="s">
        <v>242</v>
      </c>
      <c r="I33" s="5" t="s">
        <v>373</v>
      </c>
    </row>
    <row r="34" spans="2:9" ht="15.75" customHeight="1">
      <c r="B34" s="64" t="s">
        <v>170</v>
      </c>
      <c r="C34" s="49"/>
      <c r="D34" s="49"/>
      <c r="E34" s="49"/>
      <c r="F34" s="49"/>
      <c r="G34" s="49"/>
      <c r="H34" s="49"/>
      <c r="I34" s="43"/>
    </row>
    <row r="35" spans="2:9" ht="18" customHeight="1">
      <c r="B35" s="1"/>
      <c r="C35" s="1"/>
      <c r="D35" s="1"/>
      <c r="E35" s="1"/>
      <c r="F35" s="1"/>
      <c r="G35" s="1"/>
      <c r="H35" s="1"/>
      <c r="I35" s="1"/>
    </row>
    <row r="36" spans="2:9" ht="18" customHeight="1">
      <c r="B36" s="1"/>
      <c r="C36" s="1"/>
      <c r="D36" s="1"/>
      <c r="E36" s="1"/>
      <c r="F36" s="1"/>
      <c r="G36" s="1"/>
      <c r="H36" s="1"/>
      <c r="I36" s="1"/>
    </row>
    <row r="37" spans="2:9" ht="18" customHeight="1">
      <c r="B37" s="1"/>
      <c r="C37" s="1"/>
      <c r="D37" s="1"/>
      <c r="E37" s="1"/>
      <c r="F37" s="1"/>
      <c r="G37" s="1"/>
      <c r="H37" s="1"/>
      <c r="I37" s="1"/>
    </row>
    <row r="38" spans="2:9" ht="14.25" customHeight="1"/>
    <row r="39" spans="2:9" ht="21.75" customHeight="1">
      <c r="B39" s="47" t="s">
        <v>290</v>
      </c>
      <c r="C39" s="49"/>
      <c r="D39" s="49"/>
      <c r="E39" s="49"/>
      <c r="F39" s="49"/>
      <c r="G39" s="49"/>
      <c r="H39" s="49"/>
      <c r="I39" s="43"/>
    </row>
    <row r="40" spans="2:9" ht="13.5" customHeight="1">
      <c r="B40" s="56" t="s">
        <v>172</v>
      </c>
      <c r="C40" s="57"/>
      <c r="D40" s="57"/>
      <c r="E40" s="57"/>
      <c r="F40" s="57"/>
      <c r="G40" s="57"/>
      <c r="H40" s="57"/>
      <c r="I40" s="57"/>
    </row>
    <row r="41" spans="2:9" ht="19.5" customHeight="1">
      <c r="B41" s="20" t="s">
        <v>173</v>
      </c>
      <c r="C41" s="20" t="s">
        <v>174</v>
      </c>
      <c r="D41" s="20" t="s">
        <v>175</v>
      </c>
      <c r="E41" s="65" t="s">
        <v>176</v>
      </c>
      <c r="F41" s="49"/>
      <c r="G41" s="49"/>
      <c r="H41" s="49"/>
      <c r="I41" s="43"/>
    </row>
    <row r="42" spans="2:9" ht="21.75" customHeight="1">
      <c r="B42" s="66" t="s">
        <v>374</v>
      </c>
      <c r="C42" s="49"/>
      <c r="D42" s="43"/>
      <c r="E42" s="26" t="s">
        <v>375</v>
      </c>
      <c r="F42" s="11"/>
      <c r="G42" s="11"/>
      <c r="H42" s="11"/>
      <c r="I42" s="27"/>
    </row>
    <row r="43" spans="2:9" ht="21.75" customHeight="1">
      <c r="B43" s="54" t="s">
        <v>179</v>
      </c>
      <c r="C43" s="49"/>
      <c r="D43" s="43"/>
      <c r="E43" s="26" t="s">
        <v>376</v>
      </c>
      <c r="F43" s="11"/>
      <c r="G43" s="11"/>
      <c r="H43" s="11"/>
      <c r="I43" s="27"/>
    </row>
    <row r="44" spans="2:9" ht="21.75" customHeight="1">
      <c r="B44" s="54" t="s">
        <v>181</v>
      </c>
      <c r="C44" s="49"/>
      <c r="D44" s="43"/>
      <c r="E44" s="26" t="s">
        <v>377</v>
      </c>
      <c r="F44" s="11"/>
      <c r="G44" s="11"/>
      <c r="H44" s="11"/>
      <c r="I44" s="27"/>
    </row>
    <row r="45" spans="2:9" ht="21.75" customHeight="1">
      <c r="B45" s="54" t="s">
        <v>183</v>
      </c>
      <c r="C45" s="49"/>
      <c r="D45" s="43"/>
      <c r="E45" s="26" t="s">
        <v>378</v>
      </c>
      <c r="F45" s="11"/>
      <c r="G45" s="11"/>
      <c r="H45" s="11"/>
      <c r="I45" s="27"/>
    </row>
    <row r="46" spans="2:9" ht="21.75" customHeight="1">
      <c r="B46" s="66" t="s">
        <v>379</v>
      </c>
      <c r="C46" s="49"/>
      <c r="D46" s="43"/>
      <c r="E46" s="26" t="s">
        <v>380</v>
      </c>
      <c r="F46" s="11"/>
      <c r="G46" s="11"/>
      <c r="H46" s="11"/>
      <c r="I46" s="27"/>
    </row>
    <row r="47" spans="2:9" ht="21.75" customHeight="1">
      <c r="B47" s="54" t="s">
        <v>179</v>
      </c>
      <c r="C47" s="49"/>
      <c r="D47" s="43"/>
      <c r="E47" s="26" t="s">
        <v>381</v>
      </c>
      <c r="F47" s="11"/>
      <c r="G47" s="11"/>
      <c r="H47" s="11"/>
      <c r="I47" s="27"/>
    </row>
    <row r="48" spans="2:9" ht="21.75" customHeight="1">
      <c r="B48" s="54" t="s">
        <v>181</v>
      </c>
      <c r="C48" s="49"/>
      <c r="D48" s="43"/>
      <c r="E48" s="26" t="s">
        <v>382</v>
      </c>
      <c r="F48" s="11"/>
      <c r="G48" s="11"/>
      <c r="H48" s="11"/>
      <c r="I48" s="27"/>
    </row>
    <row r="49" spans="2:9" ht="21.75" customHeight="1">
      <c r="B49" s="54" t="s">
        <v>183</v>
      </c>
      <c r="C49" s="49"/>
      <c r="D49" s="43"/>
      <c r="E49" s="26" t="s">
        <v>383</v>
      </c>
      <c r="F49" s="11"/>
      <c r="G49" s="11"/>
      <c r="H49" s="11"/>
      <c r="I49" s="27"/>
    </row>
    <row r="50" spans="2:9" ht="21.75" customHeight="1">
      <c r="B50" s="66" t="s">
        <v>384</v>
      </c>
      <c r="C50" s="49"/>
      <c r="D50" s="43"/>
      <c r="E50" s="26" t="s">
        <v>385</v>
      </c>
      <c r="F50" s="11"/>
      <c r="G50" s="11"/>
      <c r="H50" s="11"/>
      <c r="I50" s="27"/>
    </row>
    <row r="51" spans="2:9" ht="21.75" customHeight="1">
      <c r="B51" s="54" t="s">
        <v>179</v>
      </c>
      <c r="C51" s="49"/>
      <c r="D51" s="43"/>
      <c r="E51" s="26" t="s">
        <v>386</v>
      </c>
      <c r="F51" s="11"/>
      <c r="G51" s="11"/>
      <c r="H51" s="11"/>
      <c r="I51" s="27"/>
    </row>
    <row r="52" spans="2:9" ht="21.75" customHeight="1">
      <c r="B52" s="54" t="s">
        <v>181</v>
      </c>
      <c r="C52" s="49"/>
      <c r="D52" s="43"/>
      <c r="E52" s="26" t="s">
        <v>387</v>
      </c>
      <c r="F52" s="11"/>
      <c r="G52" s="11"/>
      <c r="H52" s="11"/>
      <c r="I52" s="27"/>
    </row>
    <row r="53" spans="2:9" ht="21.75" customHeight="1">
      <c r="B53" s="54" t="s">
        <v>183</v>
      </c>
      <c r="C53" s="49"/>
      <c r="D53" s="43"/>
      <c r="E53" s="26" t="s">
        <v>388</v>
      </c>
      <c r="F53" s="11"/>
      <c r="G53" s="11"/>
      <c r="H53" s="11"/>
      <c r="I53" s="27"/>
    </row>
    <row r="54" spans="2:9" ht="21.75" customHeight="1">
      <c r="B54" s="66" t="s">
        <v>194</v>
      </c>
      <c r="C54" s="49"/>
      <c r="D54" s="43"/>
      <c r="E54" s="26" t="s">
        <v>389</v>
      </c>
      <c r="F54" s="11"/>
      <c r="G54" s="11"/>
      <c r="H54" s="11"/>
      <c r="I54" s="27"/>
    </row>
    <row r="55" spans="2:9" ht="21.75" customHeight="1">
      <c r="B55" s="54" t="s">
        <v>179</v>
      </c>
      <c r="C55" s="49"/>
      <c r="D55" s="43"/>
      <c r="E55" s="26" t="s">
        <v>390</v>
      </c>
      <c r="F55" s="11"/>
      <c r="G55" s="11"/>
      <c r="H55" s="11"/>
      <c r="I55" s="27"/>
    </row>
    <row r="56" spans="2:9" ht="21.75" customHeight="1">
      <c r="B56" s="54" t="s">
        <v>181</v>
      </c>
      <c r="C56" s="49"/>
      <c r="D56" s="43"/>
      <c r="E56" s="26" t="s">
        <v>391</v>
      </c>
      <c r="F56" s="11"/>
      <c r="G56" s="11"/>
      <c r="H56" s="11"/>
      <c r="I56" s="27"/>
    </row>
    <row r="57" spans="2:9" ht="21.75" customHeight="1">
      <c r="B57" s="54" t="s">
        <v>183</v>
      </c>
      <c r="C57" s="49"/>
      <c r="D57" s="43"/>
      <c r="E57" s="26" t="s">
        <v>392</v>
      </c>
      <c r="F57" s="11"/>
      <c r="G57" s="11"/>
      <c r="H57" s="11"/>
      <c r="I57" s="27"/>
    </row>
    <row r="58" spans="2:9" ht="14.25" customHeight="1">
      <c r="E58" s="50"/>
      <c r="F58" s="49"/>
      <c r="G58" s="49"/>
      <c r="H58" s="49"/>
      <c r="I58" s="43"/>
    </row>
    <row r="59" spans="2:9" ht="21.75" customHeight="1">
      <c r="B59" s="55" t="s">
        <v>199</v>
      </c>
      <c r="C59" s="49"/>
      <c r="D59" s="49"/>
      <c r="E59" s="49"/>
      <c r="F59" s="49"/>
      <c r="G59" s="49"/>
      <c r="H59" s="49"/>
      <c r="I59" s="43"/>
    </row>
    <row r="60" spans="2:9" ht="13.5" customHeight="1">
      <c r="B60" s="56" t="s">
        <v>200</v>
      </c>
      <c r="C60" s="57"/>
      <c r="D60" s="57"/>
      <c r="E60" s="57"/>
      <c r="F60" s="57"/>
      <c r="G60" s="57"/>
      <c r="H60" s="57"/>
      <c r="I60" s="57"/>
    </row>
    <row r="61" spans="2:9" ht="18" customHeight="1">
      <c r="B61" s="58" t="s">
        <v>201</v>
      </c>
      <c r="C61" s="49"/>
      <c r="D61" s="49"/>
      <c r="E61" s="49"/>
      <c r="F61" s="49"/>
      <c r="G61" s="49"/>
      <c r="H61" s="49"/>
      <c r="I61" s="43"/>
    </row>
    <row r="62" spans="2:9" ht="18" customHeight="1">
      <c r="B62" s="53" t="s">
        <v>202</v>
      </c>
      <c r="C62" s="49"/>
      <c r="D62" s="43"/>
      <c r="E62" s="28" t="s">
        <v>393</v>
      </c>
      <c r="F62" s="12"/>
      <c r="G62" s="12"/>
      <c r="H62" s="12"/>
      <c r="I62" s="12"/>
    </row>
    <row r="63" spans="2:9" ht="18" customHeight="1">
      <c r="B63" s="53" t="s">
        <v>204</v>
      </c>
      <c r="C63" s="49"/>
      <c r="D63" s="43"/>
      <c r="E63" s="28" t="s">
        <v>394</v>
      </c>
      <c r="F63" s="12"/>
      <c r="G63" s="12"/>
      <c r="H63" s="12"/>
      <c r="I63" s="12"/>
    </row>
    <row r="64" spans="2:9" ht="18" customHeight="1">
      <c r="B64" s="53" t="s">
        <v>206</v>
      </c>
      <c r="C64" s="49"/>
      <c r="D64" s="43"/>
      <c r="E64" s="28" t="s">
        <v>395</v>
      </c>
      <c r="F64" s="12"/>
      <c r="G64" s="12"/>
      <c r="H64" s="12"/>
      <c r="I64" s="12"/>
    </row>
    <row r="65" spans="2:9" ht="18" customHeight="1">
      <c r="B65" s="53" t="s">
        <v>208</v>
      </c>
      <c r="C65" s="49"/>
      <c r="D65" s="43"/>
      <c r="E65" s="28" t="s">
        <v>396</v>
      </c>
      <c r="F65" s="12"/>
      <c r="G65" s="12"/>
      <c r="H65" s="12"/>
      <c r="I65" s="12"/>
    </row>
    <row r="66" spans="2:9" ht="18" customHeight="1">
      <c r="B66" s="53" t="s">
        <v>210</v>
      </c>
      <c r="C66" s="49"/>
      <c r="D66" s="43"/>
      <c r="E66" s="28" t="s">
        <v>397</v>
      </c>
      <c r="F66" s="12"/>
      <c r="G66" s="12"/>
      <c r="H66" s="12"/>
      <c r="I66" s="12"/>
    </row>
    <row r="67" spans="2:9" ht="14.25" customHeight="1"/>
    <row r="68" spans="2:9" ht="18" customHeight="1">
      <c r="B68" s="58" t="s">
        <v>212</v>
      </c>
      <c r="C68" s="49"/>
      <c r="D68" s="49"/>
      <c r="E68" s="49"/>
      <c r="F68" s="49"/>
      <c r="G68" s="49"/>
      <c r="H68" s="49"/>
      <c r="I68" s="43"/>
    </row>
    <row r="69" spans="2:9" ht="18" customHeight="1">
      <c r="B69" s="53" t="s">
        <v>202</v>
      </c>
      <c r="C69" s="49"/>
      <c r="D69" s="43"/>
      <c r="E69" s="28" t="s">
        <v>398</v>
      </c>
      <c r="F69" s="12"/>
      <c r="G69" s="12"/>
      <c r="H69" s="12"/>
      <c r="I69" s="12"/>
    </row>
    <row r="70" spans="2:9" ht="18" customHeight="1">
      <c r="B70" s="53" t="s">
        <v>204</v>
      </c>
      <c r="C70" s="49"/>
      <c r="D70" s="43"/>
      <c r="E70" s="28" t="s">
        <v>399</v>
      </c>
      <c r="F70" s="12"/>
      <c r="G70" s="12"/>
      <c r="H70" s="12"/>
      <c r="I70" s="12"/>
    </row>
    <row r="71" spans="2:9" ht="18" customHeight="1">
      <c r="B71" s="53" t="s">
        <v>206</v>
      </c>
      <c r="C71" s="49"/>
      <c r="D71" s="43"/>
      <c r="E71" s="28" t="s">
        <v>400</v>
      </c>
      <c r="F71" s="12"/>
      <c r="G71" s="12"/>
      <c r="H71" s="12"/>
      <c r="I71" s="12"/>
    </row>
    <row r="72" spans="2:9" ht="18" customHeight="1">
      <c r="B72" s="53" t="s">
        <v>208</v>
      </c>
      <c r="C72" s="49"/>
      <c r="D72" s="43"/>
      <c r="E72" s="28" t="s">
        <v>401</v>
      </c>
      <c r="F72" s="12"/>
      <c r="G72" s="12"/>
      <c r="H72" s="12"/>
      <c r="I72" s="12"/>
    </row>
    <row r="73" spans="2:9" ht="18" customHeight="1">
      <c r="B73" s="53" t="s">
        <v>210</v>
      </c>
      <c r="C73" s="49"/>
      <c r="D73" s="43"/>
      <c r="E73" s="28" t="s">
        <v>402</v>
      </c>
      <c r="F73" s="12"/>
      <c r="G73" s="12"/>
      <c r="H73" s="12"/>
      <c r="I73" s="12"/>
    </row>
    <row r="74" spans="2:9" ht="14.25" customHeight="1"/>
    <row r="75" spans="2:9" ht="18" customHeight="1">
      <c r="B75" s="58" t="s">
        <v>218</v>
      </c>
      <c r="C75" s="49"/>
      <c r="D75" s="49"/>
      <c r="E75" s="49"/>
      <c r="F75" s="49"/>
      <c r="G75" s="49"/>
      <c r="H75" s="49"/>
      <c r="I75" s="43"/>
    </row>
    <row r="76" spans="2:9" ht="18" customHeight="1">
      <c r="B76" s="53" t="s">
        <v>202</v>
      </c>
      <c r="C76" s="49"/>
      <c r="D76" s="43"/>
      <c r="E76" s="29" t="s">
        <v>403</v>
      </c>
      <c r="F76" s="24"/>
      <c r="G76" s="24"/>
      <c r="H76" s="24"/>
      <c r="I76" s="25"/>
    </row>
    <row r="77" spans="2:9" ht="18" customHeight="1">
      <c r="B77" s="53" t="s">
        <v>204</v>
      </c>
      <c r="C77" s="49"/>
      <c r="D77" s="43"/>
      <c r="E77" s="29" t="s">
        <v>404</v>
      </c>
      <c r="F77" s="24"/>
      <c r="G77" s="24"/>
      <c r="H77" s="24"/>
      <c r="I77" s="25"/>
    </row>
    <row r="78" spans="2:9" ht="18" customHeight="1">
      <c r="B78" s="53" t="s">
        <v>206</v>
      </c>
      <c r="C78" s="49"/>
      <c r="D78" s="43"/>
      <c r="E78" s="29" t="s">
        <v>405</v>
      </c>
      <c r="F78" s="24"/>
      <c r="G78" s="24"/>
      <c r="H78" s="24"/>
      <c r="I78" s="25"/>
    </row>
    <row r="79" spans="2:9" ht="18" customHeight="1">
      <c r="B79" s="53" t="s">
        <v>208</v>
      </c>
      <c r="C79" s="49"/>
      <c r="D79" s="43"/>
      <c r="E79" s="29" t="s">
        <v>406</v>
      </c>
      <c r="F79" s="24"/>
      <c r="G79" s="24"/>
      <c r="H79" s="24"/>
      <c r="I79" s="25"/>
    </row>
    <row r="80" spans="2:9" ht="18" customHeight="1">
      <c r="B80" s="53" t="s">
        <v>210</v>
      </c>
      <c r="C80" s="49"/>
      <c r="D80" s="43"/>
      <c r="E80" s="29" t="s">
        <v>407</v>
      </c>
      <c r="F80" s="24"/>
      <c r="G80" s="24"/>
      <c r="H80" s="24"/>
      <c r="I80" s="25"/>
    </row>
    <row r="81" spans="2:9" ht="14.25" customHeight="1"/>
    <row r="82" spans="2:9" ht="18" customHeight="1">
      <c r="B82" s="58" t="s">
        <v>224</v>
      </c>
      <c r="C82" s="49"/>
      <c r="D82" s="49"/>
      <c r="E82" s="49"/>
      <c r="F82" s="49"/>
      <c r="G82" s="49"/>
      <c r="H82" s="49"/>
      <c r="I82" s="43"/>
    </row>
    <row r="83" spans="2:9" ht="18" customHeight="1">
      <c r="B83" s="53" t="s">
        <v>202</v>
      </c>
      <c r="C83" s="49"/>
      <c r="D83" s="43"/>
      <c r="E83" s="29" t="s">
        <v>408</v>
      </c>
      <c r="F83" s="24"/>
      <c r="G83" s="24"/>
      <c r="H83" s="24"/>
      <c r="I83" s="25"/>
    </row>
    <row r="84" spans="2:9" ht="18" customHeight="1">
      <c r="B84" s="53" t="s">
        <v>204</v>
      </c>
      <c r="C84" s="49"/>
      <c r="D84" s="43"/>
      <c r="E84" s="29" t="s">
        <v>409</v>
      </c>
      <c r="F84" s="24"/>
      <c r="G84" s="24"/>
      <c r="H84" s="24"/>
      <c r="I84" s="25"/>
    </row>
    <row r="85" spans="2:9" ht="18" customHeight="1">
      <c r="B85" s="53" t="s">
        <v>206</v>
      </c>
      <c r="C85" s="49"/>
      <c r="D85" s="43"/>
      <c r="E85" s="29" t="s">
        <v>410</v>
      </c>
      <c r="F85" s="24"/>
      <c r="G85" s="24"/>
      <c r="H85" s="24"/>
      <c r="I85" s="25"/>
    </row>
    <row r="86" spans="2:9" ht="18" customHeight="1">
      <c r="B86" s="53" t="s">
        <v>208</v>
      </c>
      <c r="C86" s="49"/>
      <c r="D86" s="43"/>
      <c r="E86" s="29" t="s">
        <v>411</v>
      </c>
      <c r="F86" s="24"/>
      <c r="G86" s="24"/>
      <c r="H86" s="24"/>
      <c r="I86" s="25"/>
    </row>
    <row r="87" spans="2:9" ht="18" customHeight="1">
      <c r="B87" s="53" t="s">
        <v>210</v>
      </c>
      <c r="C87" s="49"/>
      <c r="D87" s="43"/>
      <c r="E87" s="29" t="s">
        <v>412</v>
      </c>
      <c r="F87" s="24"/>
      <c r="G87" s="24"/>
      <c r="H87" s="24"/>
      <c r="I87" s="25"/>
    </row>
    <row r="88" spans="2:9" ht="14.25" customHeight="1"/>
    <row r="89" spans="2:9" ht="18" customHeight="1">
      <c r="B89" s="58" t="s">
        <v>230</v>
      </c>
      <c r="C89" s="49"/>
      <c r="D89" s="49"/>
      <c r="E89" s="49"/>
      <c r="F89" s="49"/>
      <c r="G89" s="49"/>
      <c r="H89" s="49"/>
      <c r="I89" s="43"/>
    </row>
    <row r="90" spans="2:9" ht="18" customHeight="1">
      <c r="B90" s="53" t="s">
        <v>202</v>
      </c>
      <c r="C90" s="49"/>
      <c r="D90" s="43"/>
      <c r="E90" s="29" t="s">
        <v>413</v>
      </c>
      <c r="F90" s="24"/>
      <c r="G90" s="24"/>
      <c r="H90" s="24"/>
      <c r="I90" s="25"/>
    </row>
    <row r="91" spans="2:9" ht="18" customHeight="1">
      <c r="B91" s="53" t="s">
        <v>204</v>
      </c>
      <c r="C91" s="49"/>
      <c r="D91" s="43"/>
      <c r="E91" s="29" t="s">
        <v>414</v>
      </c>
      <c r="F91" s="24"/>
      <c r="G91" s="24"/>
      <c r="H91" s="24"/>
      <c r="I91" s="25"/>
    </row>
    <row r="92" spans="2:9" ht="18" customHeight="1">
      <c r="B92" s="53" t="s">
        <v>206</v>
      </c>
      <c r="C92" s="49"/>
      <c r="D92" s="43"/>
      <c r="E92" s="29" t="s">
        <v>415</v>
      </c>
      <c r="F92" s="24"/>
      <c r="G92" s="24"/>
      <c r="H92" s="24"/>
      <c r="I92" s="25"/>
    </row>
    <row r="93" spans="2:9" ht="18" customHeight="1">
      <c r="B93" s="53" t="s">
        <v>208</v>
      </c>
      <c r="C93" s="49"/>
      <c r="D93" s="43"/>
      <c r="E93" s="29" t="s">
        <v>416</v>
      </c>
      <c r="F93" s="24"/>
      <c r="G93" s="24"/>
      <c r="H93" s="24"/>
      <c r="I93" s="25"/>
    </row>
    <row r="94" spans="2:9" ht="18" customHeight="1">
      <c r="B94" s="53" t="s">
        <v>210</v>
      </c>
      <c r="C94" s="49"/>
      <c r="D94" s="43"/>
      <c r="E94" s="29" t="s">
        <v>417</v>
      </c>
      <c r="F94" s="24"/>
      <c r="G94" s="24"/>
      <c r="H94" s="24"/>
      <c r="I94" s="25"/>
    </row>
    <row r="95" spans="2:9" ht="14.25" customHeight="1"/>
    <row r="96" spans="2:9" ht="15.75" customHeight="1">
      <c r="B96" s="60" t="s">
        <v>418</v>
      </c>
      <c r="C96" s="49"/>
      <c r="D96" s="49"/>
      <c r="E96" s="49"/>
      <c r="F96" s="49"/>
      <c r="G96" s="49"/>
      <c r="H96" s="49"/>
      <c r="I96" s="43"/>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65">
    <mergeCell ref="B52:D52"/>
    <mergeCell ref="B53:D53"/>
    <mergeCell ref="B54:D54"/>
    <mergeCell ref="B62:D62"/>
    <mergeCell ref="B63:D63"/>
    <mergeCell ref="B47:D47"/>
    <mergeCell ref="B48:D48"/>
    <mergeCell ref="B49:D49"/>
    <mergeCell ref="B50:D50"/>
    <mergeCell ref="B51:D51"/>
    <mergeCell ref="B42:D42"/>
    <mergeCell ref="B43:D43"/>
    <mergeCell ref="B44:D44"/>
    <mergeCell ref="B45:D45"/>
    <mergeCell ref="B46:D46"/>
    <mergeCell ref="B30:I30"/>
    <mergeCell ref="B34:I34"/>
    <mergeCell ref="B39:I39"/>
    <mergeCell ref="B40:I40"/>
    <mergeCell ref="E41:I41"/>
    <mergeCell ref="B18:I18"/>
    <mergeCell ref="G19:H19"/>
    <mergeCell ref="D19:F19"/>
    <mergeCell ref="B20:I20"/>
    <mergeCell ref="B26:I26"/>
    <mergeCell ref="B2:I2"/>
    <mergeCell ref="B3:I3"/>
    <mergeCell ref="B5:I5"/>
    <mergeCell ref="B6:I6"/>
    <mergeCell ref="B17:I17"/>
    <mergeCell ref="B92:D92"/>
    <mergeCell ref="B93:D93"/>
    <mergeCell ref="B94:D94"/>
    <mergeCell ref="B96:I96"/>
    <mergeCell ref="B89:I89"/>
    <mergeCell ref="B90:D90"/>
    <mergeCell ref="B91:D91"/>
    <mergeCell ref="B85:D85"/>
    <mergeCell ref="B86:D86"/>
    <mergeCell ref="B87:D87"/>
    <mergeCell ref="B82:I82"/>
    <mergeCell ref="B83:D83"/>
    <mergeCell ref="B84:D84"/>
    <mergeCell ref="B79:D79"/>
    <mergeCell ref="B80:D80"/>
    <mergeCell ref="B76:D76"/>
    <mergeCell ref="B77:D77"/>
    <mergeCell ref="B78:D78"/>
    <mergeCell ref="B70:D70"/>
    <mergeCell ref="B71:D71"/>
    <mergeCell ref="B72:D72"/>
    <mergeCell ref="B73:D73"/>
    <mergeCell ref="B75:I75"/>
    <mergeCell ref="B60:I60"/>
    <mergeCell ref="B61:I61"/>
    <mergeCell ref="B66:D66"/>
    <mergeCell ref="B68:I68"/>
    <mergeCell ref="B69:D69"/>
    <mergeCell ref="B64:D64"/>
    <mergeCell ref="B65:D65"/>
    <mergeCell ref="B55:D55"/>
    <mergeCell ref="B56:D56"/>
    <mergeCell ref="B57:D57"/>
    <mergeCell ref="E58:I58"/>
    <mergeCell ref="B59:I59"/>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2"/>
  <sheetViews>
    <sheetView showGridLines="0" workbookViewId="0"/>
  </sheetViews>
  <sheetFormatPr defaultColWidth="14.42578125" defaultRowHeight="15" customHeight="1"/>
  <cols>
    <col min="1" max="1" width="3" customWidth="1"/>
    <col min="2" max="2" width="12" customWidth="1"/>
    <col min="3" max="3" width="6" customWidth="1"/>
    <col min="4" max="4" width="12.7109375" customWidth="1"/>
    <col min="5" max="5" width="54.140625" customWidth="1"/>
    <col min="6" max="6" width="26.42578125" customWidth="1"/>
    <col min="7" max="7" width="18.85546875" customWidth="1"/>
    <col min="8" max="8" width="54.42578125" customWidth="1"/>
    <col min="9" max="9" width="31.42578125" customWidth="1"/>
    <col min="10" max="26" width="8.5703125" customWidth="1"/>
  </cols>
  <sheetData>
    <row r="1" spans="2:9" ht="13.5" customHeight="1"/>
    <row r="2" spans="2:9" ht="33.75" customHeight="1">
      <c r="B2" s="61" t="s">
        <v>419</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18" customHeight="1">
      <c r="B8" s="21">
        <v>46204</v>
      </c>
      <c r="C8" s="5" t="s">
        <v>53</v>
      </c>
      <c r="D8" s="5" t="s">
        <v>95</v>
      </c>
      <c r="E8" s="5" t="s">
        <v>420</v>
      </c>
      <c r="F8" s="5" t="s">
        <v>242</v>
      </c>
      <c r="G8" s="5" t="s">
        <v>98</v>
      </c>
      <c r="H8" s="5" t="s">
        <v>421</v>
      </c>
      <c r="I8" s="5" t="s">
        <v>422</v>
      </c>
    </row>
    <row r="9" spans="2:9" ht="18" customHeight="1">
      <c r="B9" s="21">
        <v>46205</v>
      </c>
      <c r="C9" s="5" t="s">
        <v>58</v>
      </c>
      <c r="D9" s="5" t="s">
        <v>95</v>
      </c>
      <c r="E9" s="5" t="s">
        <v>423</v>
      </c>
      <c r="F9" s="5" t="s">
        <v>274</v>
      </c>
      <c r="G9" s="5" t="s">
        <v>103</v>
      </c>
      <c r="H9" s="5" t="s">
        <v>424</v>
      </c>
      <c r="I9" s="5" t="s">
        <v>425</v>
      </c>
    </row>
    <row r="10" spans="2:9" ht="18" customHeight="1">
      <c r="B10" s="21">
        <v>46206</v>
      </c>
      <c r="C10" s="5" t="s">
        <v>63</v>
      </c>
      <c r="D10" s="5" t="s">
        <v>110</v>
      </c>
      <c r="E10" s="5" t="s">
        <v>426</v>
      </c>
      <c r="F10" s="5" t="s">
        <v>250</v>
      </c>
      <c r="G10" s="5" t="s">
        <v>98</v>
      </c>
      <c r="H10" s="5" t="s">
        <v>427</v>
      </c>
      <c r="I10" s="5" t="s">
        <v>428</v>
      </c>
    </row>
    <row r="11" spans="2:9" ht="18" customHeight="1">
      <c r="B11" s="21">
        <v>46207</v>
      </c>
      <c r="C11" s="5" t="s">
        <v>67</v>
      </c>
      <c r="D11" s="5" t="s">
        <v>95</v>
      </c>
      <c r="E11" s="5" t="s">
        <v>429</v>
      </c>
      <c r="F11" s="5" t="s">
        <v>430</v>
      </c>
      <c r="G11" s="5" t="s">
        <v>98</v>
      </c>
      <c r="H11" s="5" t="s">
        <v>431</v>
      </c>
      <c r="I11" s="5" t="s">
        <v>432</v>
      </c>
    </row>
    <row r="12" spans="2:9" ht="18" customHeight="1">
      <c r="B12" s="21">
        <v>46208</v>
      </c>
      <c r="C12" s="5" t="s">
        <v>71</v>
      </c>
      <c r="D12" s="5" t="s">
        <v>95</v>
      </c>
      <c r="E12" s="5" t="s">
        <v>433</v>
      </c>
      <c r="F12" s="5" t="s">
        <v>158</v>
      </c>
      <c r="G12" s="5" t="s">
        <v>117</v>
      </c>
      <c r="H12" s="5" t="s">
        <v>434</v>
      </c>
      <c r="I12" s="5" t="s">
        <v>435</v>
      </c>
    </row>
    <row r="13" spans="2:9" ht="18" customHeight="1">
      <c r="B13" s="21">
        <v>46209</v>
      </c>
      <c r="C13" s="5" t="s">
        <v>58</v>
      </c>
      <c r="D13" s="5" t="s">
        <v>110</v>
      </c>
      <c r="E13" s="5" t="s">
        <v>436</v>
      </c>
      <c r="F13" s="5" t="s">
        <v>437</v>
      </c>
      <c r="G13" s="5" t="s">
        <v>98</v>
      </c>
      <c r="H13" s="5" t="s">
        <v>438</v>
      </c>
      <c r="I13" s="5" t="s">
        <v>439</v>
      </c>
    </row>
    <row r="14" spans="2:9" ht="18" customHeight="1">
      <c r="B14" s="21">
        <v>46210</v>
      </c>
      <c r="C14" s="5" t="s">
        <v>53</v>
      </c>
      <c r="D14" s="5" t="s">
        <v>95</v>
      </c>
      <c r="E14" s="5" t="s">
        <v>440</v>
      </c>
      <c r="F14" s="5" t="s">
        <v>258</v>
      </c>
      <c r="G14" s="5" t="s">
        <v>117</v>
      </c>
      <c r="H14" s="5" t="s">
        <v>441</v>
      </c>
      <c r="I14" s="5" t="s">
        <v>442</v>
      </c>
    </row>
    <row r="15" spans="2:9" ht="18" customHeight="1">
      <c r="B15" s="1"/>
      <c r="C15" s="1"/>
      <c r="D15" s="1"/>
      <c r="E15" s="1"/>
      <c r="F15" s="1"/>
      <c r="G15" s="1"/>
      <c r="H15" s="1"/>
      <c r="I15" s="1"/>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5" t="s">
        <v>53</v>
      </c>
      <c r="E21" s="5" t="s">
        <v>443</v>
      </c>
      <c r="F21" s="1"/>
      <c r="G21" s="1"/>
      <c r="H21" s="5" t="s">
        <v>242</v>
      </c>
      <c r="I21" s="5" t="s">
        <v>444</v>
      </c>
    </row>
    <row r="22" spans="2:9" ht="18" customHeight="1">
      <c r="B22" s="1"/>
      <c r="C22" s="5" t="s">
        <v>58</v>
      </c>
      <c r="E22" s="5" t="s">
        <v>445</v>
      </c>
      <c r="F22" s="1"/>
      <c r="G22" s="1"/>
      <c r="H22" s="5" t="s">
        <v>274</v>
      </c>
      <c r="I22" s="5" t="s">
        <v>446</v>
      </c>
    </row>
    <row r="23" spans="2:9" ht="18" customHeight="1">
      <c r="B23" s="1"/>
      <c r="C23" s="5" t="s">
        <v>63</v>
      </c>
      <c r="E23" s="5" t="s">
        <v>447</v>
      </c>
      <c r="F23" s="1"/>
      <c r="G23" s="1"/>
      <c r="H23" s="5" t="s">
        <v>250</v>
      </c>
      <c r="I23" s="5" t="s">
        <v>448</v>
      </c>
    </row>
    <row r="24" spans="2:9" ht="18" customHeight="1">
      <c r="B24" s="1"/>
      <c r="C24" s="5" t="s">
        <v>67</v>
      </c>
      <c r="E24" s="5" t="s">
        <v>449</v>
      </c>
      <c r="F24" s="1"/>
      <c r="G24" s="1"/>
      <c r="H24" s="5" t="s">
        <v>430</v>
      </c>
      <c r="I24" s="5" t="s">
        <v>450</v>
      </c>
    </row>
    <row r="25" spans="2:9" ht="18" customHeight="1">
      <c r="B25" s="1"/>
      <c r="C25" s="5" t="s">
        <v>71</v>
      </c>
      <c r="E25" s="5" t="s">
        <v>451</v>
      </c>
      <c r="F25" s="1"/>
      <c r="G25" s="1"/>
      <c r="H25" s="5" t="s">
        <v>437</v>
      </c>
      <c r="I25" s="5" t="s">
        <v>452</v>
      </c>
    </row>
    <row r="26" spans="2:9" ht="15.75" customHeight="1">
      <c r="B26" s="64" t="s">
        <v>150</v>
      </c>
      <c r="C26" s="49"/>
      <c r="D26" s="49"/>
      <c r="E26" s="49"/>
      <c r="F26" s="49"/>
      <c r="G26" s="49"/>
      <c r="H26" s="49"/>
      <c r="I26" s="43"/>
    </row>
    <row r="27" spans="2:9" ht="18" customHeight="1">
      <c r="B27" s="1"/>
      <c r="C27" s="5" t="s">
        <v>58</v>
      </c>
      <c r="D27" s="5"/>
      <c r="E27" s="5" t="s">
        <v>453</v>
      </c>
      <c r="F27" s="1"/>
      <c r="G27" s="1"/>
      <c r="H27" s="5" t="s">
        <v>250</v>
      </c>
      <c r="I27" s="22" t="s">
        <v>454</v>
      </c>
    </row>
    <row r="28" spans="2:9" ht="18" customHeight="1">
      <c r="B28" s="1"/>
      <c r="C28" s="5" t="s">
        <v>63</v>
      </c>
      <c r="D28" s="5"/>
      <c r="E28" s="5" t="s">
        <v>455</v>
      </c>
      <c r="F28" s="1"/>
      <c r="G28" s="1"/>
      <c r="H28" s="5" t="s">
        <v>158</v>
      </c>
      <c r="I28" s="22" t="s">
        <v>456</v>
      </c>
    </row>
    <row r="29" spans="2:9" ht="18" customHeight="1">
      <c r="B29" s="1"/>
      <c r="C29" s="5" t="s">
        <v>67</v>
      </c>
      <c r="D29" s="5"/>
      <c r="E29" s="5" t="s">
        <v>457</v>
      </c>
      <c r="F29" s="1"/>
      <c r="G29" s="1"/>
      <c r="H29" s="5" t="s">
        <v>242</v>
      </c>
      <c r="I29" s="22" t="s">
        <v>458</v>
      </c>
    </row>
    <row r="30" spans="2:9" ht="15.75" customHeight="1">
      <c r="B30" s="64" t="s">
        <v>160</v>
      </c>
      <c r="C30" s="49"/>
      <c r="D30" s="49"/>
      <c r="E30" s="49"/>
      <c r="F30" s="49"/>
      <c r="G30" s="49"/>
      <c r="H30" s="49"/>
      <c r="I30" s="43"/>
    </row>
    <row r="31" spans="2:9" ht="18" customHeight="1">
      <c r="B31" s="1"/>
      <c r="C31" s="5" t="s">
        <v>53</v>
      </c>
      <c r="D31" s="5"/>
      <c r="E31" s="5" t="s">
        <v>459</v>
      </c>
      <c r="F31" s="1"/>
      <c r="G31" s="1"/>
      <c r="H31" s="5" t="s">
        <v>274</v>
      </c>
      <c r="I31" s="5" t="s">
        <v>460</v>
      </c>
    </row>
    <row r="32" spans="2:9" ht="18" customHeight="1">
      <c r="B32" s="1"/>
      <c r="C32" s="5" t="s">
        <v>63</v>
      </c>
      <c r="D32" s="5"/>
      <c r="E32" s="5" t="s">
        <v>461</v>
      </c>
      <c r="F32" s="1"/>
      <c r="G32" s="1"/>
      <c r="H32" s="5" t="s">
        <v>250</v>
      </c>
      <c r="I32" s="5" t="s">
        <v>462</v>
      </c>
    </row>
    <row r="33" spans="2:9" ht="18" customHeight="1">
      <c r="B33" s="1"/>
      <c r="C33" s="5" t="s">
        <v>67</v>
      </c>
      <c r="D33" s="5"/>
      <c r="E33" s="5" t="s">
        <v>463</v>
      </c>
      <c r="F33" s="1"/>
      <c r="G33" s="1"/>
      <c r="H33" s="5" t="s">
        <v>430</v>
      </c>
      <c r="I33" s="5" t="s">
        <v>464</v>
      </c>
    </row>
    <row r="34" spans="2:9" ht="15.75" customHeight="1">
      <c r="B34" s="64" t="s">
        <v>170</v>
      </c>
      <c r="C34" s="49"/>
      <c r="D34" s="49"/>
      <c r="E34" s="49"/>
      <c r="F34" s="49"/>
      <c r="G34" s="49"/>
      <c r="H34" s="49"/>
      <c r="I34" s="43"/>
    </row>
    <row r="35" spans="2:9" ht="18" customHeight="1">
      <c r="B35" s="1"/>
      <c r="C35" s="1"/>
      <c r="D35" s="1"/>
      <c r="E35" s="1"/>
      <c r="F35" s="1"/>
      <c r="G35" s="1"/>
      <c r="H35" s="1"/>
      <c r="I35" s="1"/>
    </row>
    <row r="36" spans="2:9" ht="18" customHeight="1">
      <c r="B36" s="1"/>
      <c r="C36" s="1"/>
      <c r="D36" s="1"/>
      <c r="E36" s="1"/>
      <c r="F36" s="1"/>
      <c r="G36" s="1"/>
      <c r="H36" s="1"/>
      <c r="I36" s="1"/>
    </row>
    <row r="37" spans="2:9" ht="18" customHeight="1">
      <c r="B37" s="1"/>
      <c r="C37" s="1"/>
      <c r="D37" s="1"/>
      <c r="E37" s="1"/>
      <c r="F37" s="1"/>
      <c r="G37" s="1"/>
      <c r="H37" s="1"/>
      <c r="I37" s="1"/>
    </row>
    <row r="38" spans="2:9" ht="14.25" customHeight="1"/>
    <row r="39" spans="2:9" ht="21.75" customHeight="1">
      <c r="B39" s="47" t="s">
        <v>290</v>
      </c>
      <c r="C39" s="49"/>
      <c r="D39" s="49"/>
      <c r="E39" s="49"/>
      <c r="F39" s="49"/>
      <c r="G39" s="49"/>
      <c r="H39" s="49"/>
      <c r="I39" s="43"/>
    </row>
    <row r="40" spans="2:9" ht="13.5" customHeight="1">
      <c r="B40" s="56" t="s">
        <v>172</v>
      </c>
      <c r="C40" s="57"/>
      <c r="D40" s="57"/>
      <c r="E40" s="57"/>
      <c r="F40" s="57"/>
      <c r="G40" s="57"/>
      <c r="H40" s="57"/>
      <c r="I40" s="57"/>
    </row>
    <row r="41" spans="2:9" ht="19.5" customHeight="1">
      <c r="B41" s="20" t="s">
        <v>173</v>
      </c>
      <c r="C41" s="20" t="s">
        <v>174</v>
      </c>
      <c r="D41" s="20" t="s">
        <v>175</v>
      </c>
      <c r="E41" s="65" t="s">
        <v>176</v>
      </c>
      <c r="F41" s="49"/>
      <c r="G41" s="49"/>
      <c r="H41" s="49"/>
      <c r="I41" s="43"/>
    </row>
    <row r="42" spans="2:9" ht="21.75" customHeight="1">
      <c r="B42" s="66" t="s">
        <v>374</v>
      </c>
      <c r="C42" s="49"/>
      <c r="D42" s="43"/>
      <c r="E42" s="26" t="s">
        <v>465</v>
      </c>
      <c r="F42" s="11"/>
      <c r="G42" s="11"/>
      <c r="H42" s="11"/>
      <c r="I42" s="27"/>
    </row>
    <row r="43" spans="2:9" ht="21.75" customHeight="1">
      <c r="B43" s="54" t="s">
        <v>179</v>
      </c>
      <c r="C43" s="49"/>
      <c r="D43" s="43"/>
      <c r="E43" s="26" t="s">
        <v>466</v>
      </c>
      <c r="F43" s="11"/>
      <c r="G43" s="11"/>
      <c r="H43" s="11"/>
      <c r="I43" s="27"/>
    </row>
    <row r="44" spans="2:9" ht="21.75" customHeight="1">
      <c r="B44" s="54" t="s">
        <v>181</v>
      </c>
      <c r="C44" s="49"/>
      <c r="D44" s="43"/>
      <c r="E44" s="26" t="s">
        <v>467</v>
      </c>
      <c r="F44" s="11"/>
      <c r="G44" s="11"/>
      <c r="H44" s="11"/>
      <c r="I44" s="27"/>
    </row>
    <row r="45" spans="2:9" ht="21.75" customHeight="1">
      <c r="B45" s="54" t="s">
        <v>183</v>
      </c>
      <c r="C45" s="49"/>
      <c r="D45" s="43"/>
      <c r="E45" s="26" t="s">
        <v>468</v>
      </c>
      <c r="F45" s="11"/>
      <c r="G45" s="11"/>
      <c r="H45" s="11"/>
      <c r="I45" s="27"/>
    </row>
    <row r="46" spans="2:9" ht="21.75" customHeight="1">
      <c r="B46" s="66" t="s">
        <v>469</v>
      </c>
      <c r="C46" s="49"/>
      <c r="D46" s="43"/>
      <c r="E46" s="26" t="s">
        <v>470</v>
      </c>
      <c r="F46" s="11"/>
      <c r="G46" s="11"/>
      <c r="H46" s="11"/>
      <c r="I46" s="27"/>
    </row>
    <row r="47" spans="2:9" ht="21.75" customHeight="1">
      <c r="B47" s="54" t="s">
        <v>179</v>
      </c>
      <c r="C47" s="49"/>
      <c r="D47" s="43"/>
      <c r="E47" s="26" t="s">
        <v>471</v>
      </c>
      <c r="F47" s="11"/>
      <c r="G47" s="11"/>
      <c r="H47" s="11"/>
      <c r="I47" s="27"/>
    </row>
    <row r="48" spans="2:9" ht="21.75" customHeight="1">
      <c r="B48" s="54" t="s">
        <v>181</v>
      </c>
      <c r="C48" s="49"/>
      <c r="D48" s="43"/>
      <c r="E48" s="26" t="s">
        <v>472</v>
      </c>
      <c r="F48" s="11"/>
      <c r="G48" s="11"/>
      <c r="H48" s="11"/>
      <c r="I48" s="27"/>
    </row>
    <row r="49" spans="2:9" ht="21.75" customHeight="1">
      <c r="B49" s="54" t="s">
        <v>183</v>
      </c>
      <c r="C49" s="49"/>
      <c r="D49" s="43"/>
      <c r="E49" s="26" t="s">
        <v>473</v>
      </c>
      <c r="F49" s="11"/>
      <c r="G49" s="11"/>
      <c r="H49" s="11"/>
      <c r="I49" s="27"/>
    </row>
    <row r="50" spans="2:9" ht="21.75" customHeight="1">
      <c r="B50" s="66" t="s">
        <v>189</v>
      </c>
      <c r="C50" s="49"/>
      <c r="D50" s="43"/>
      <c r="E50" s="26" t="s">
        <v>474</v>
      </c>
      <c r="F50" s="11"/>
      <c r="G50" s="11"/>
      <c r="H50" s="11"/>
      <c r="I50" s="27"/>
    </row>
    <row r="51" spans="2:9" ht="21.75" customHeight="1">
      <c r="B51" s="54" t="s">
        <v>179</v>
      </c>
      <c r="C51" s="49"/>
      <c r="D51" s="43"/>
      <c r="E51" s="26" t="s">
        <v>475</v>
      </c>
      <c r="F51" s="11"/>
      <c r="G51" s="11"/>
      <c r="H51" s="11"/>
      <c r="I51" s="27"/>
    </row>
    <row r="52" spans="2:9" ht="21.75" customHeight="1">
      <c r="B52" s="54" t="s">
        <v>181</v>
      </c>
      <c r="C52" s="49"/>
      <c r="D52" s="43"/>
      <c r="E52" s="26" t="s">
        <v>476</v>
      </c>
      <c r="F52" s="11"/>
      <c r="G52" s="11"/>
      <c r="H52" s="11"/>
      <c r="I52" s="27"/>
    </row>
    <row r="53" spans="2:9" ht="21.75" customHeight="1">
      <c r="B53" s="54" t="s">
        <v>183</v>
      </c>
      <c r="C53" s="49"/>
      <c r="D53" s="43"/>
      <c r="E53" s="26" t="s">
        <v>477</v>
      </c>
      <c r="F53" s="11"/>
      <c r="G53" s="11"/>
      <c r="H53" s="11"/>
      <c r="I53" s="27"/>
    </row>
    <row r="54" spans="2:9" ht="21.75" customHeight="1">
      <c r="B54" s="66" t="s">
        <v>478</v>
      </c>
      <c r="C54" s="49"/>
      <c r="D54" s="43"/>
      <c r="E54" s="26" t="s">
        <v>479</v>
      </c>
      <c r="F54" s="11"/>
      <c r="G54" s="11"/>
      <c r="H54" s="11"/>
      <c r="I54" s="27"/>
    </row>
    <row r="55" spans="2:9" ht="21.75" customHeight="1">
      <c r="B55" s="54" t="s">
        <v>179</v>
      </c>
      <c r="C55" s="49"/>
      <c r="D55" s="43"/>
      <c r="E55" s="26" t="s">
        <v>480</v>
      </c>
      <c r="F55" s="11"/>
      <c r="G55" s="11"/>
      <c r="H55" s="11"/>
      <c r="I55" s="27"/>
    </row>
    <row r="56" spans="2:9" ht="21.75" customHeight="1">
      <c r="B56" s="54" t="s">
        <v>181</v>
      </c>
      <c r="C56" s="49"/>
      <c r="D56" s="43"/>
      <c r="E56" s="26" t="s">
        <v>481</v>
      </c>
      <c r="F56" s="11"/>
      <c r="G56" s="11"/>
      <c r="H56" s="11"/>
      <c r="I56" s="27"/>
    </row>
    <row r="57" spans="2:9" ht="21.75" customHeight="1">
      <c r="B57" s="54" t="s">
        <v>183</v>
      </c>
      <c r="C57" s="49"/>
      <c r="D57" s="43"/>
      <c r="E57" s="26" t="s">
        <v>482</v>
      </c>
      <c r="F57" s="11"/>
      <c r="G57" s="11"/>
      <c r="H57" s="11"/>
      <c r="I57" s="27"/>
    </row>
    <row r="58" spans="2:9" ht="14.25" customHeight="1">
      <c r="E58" s="50"/>
      <c r="F58" s="49"/>
      <c r="G58" s="49"/>
      <c r="H58" s="49"/>
      <c r="I58" s="43"/>
    </row>
    <row r="59" spans="2:9" ht="21.75" customHeight="1">
      <c r="B59" s="55" t="s">
        <v>199</v>
      </c>
      <c r="C59" s="49"/>
      <c r="D59" s="49"/>
      <c r="E59" s="49"/>
      <c r="F59" s="49"/>
      <c r="G59" s="49"/>
      <c r="H59" s="49"/>
      <c r="I59" s="43"/>
    </row>
    <row r="60" spans="2:9" ht="13.5" customHeight="1">
      <c r="B60" s="56" t="s">
        <v>200</v>
      </c>
      <c r="C60" s="57"/>
      <c r="D60" s="57"/>
      <c r="E60" s="57"/>
      <c r="F60" s="57"/>
      <c r="G60" s="57"/>
      <c r="H60" s="57"/>
      <c r="I60" s="57"/>
    </row>
    <row r="61" spans="2:9" ht="18" customHeight="1">
      <c r="B61" s="58" t="s">
        <v>201</v>
      </c>
      <c r="C61" s="49"/>
      <c r="D61" s="49"/>
      <c r="E61" s="49"/>
      <c r="F61" s="49"/>
      <c r="G61" s="49"/>
      <c r="H61" s="49"/>
      <c r="I61" s="43"/>
    </row>
    <row r="62" spans="2:9" ht="18" customHeight="1">
      <c r="B62" s="53" t="s">
        <v>202</v>
      </c>
      <c r="C62" s="49"/>
      <c r="D62" s="43"/>
      <c r="E62" s="28" t="s">
        <v>483</v>
      </c>
      <c r="F62" s="30"/>
      <c r="G62" s="30"/>
      <c r="H62" s="30"/>
      <c r="I62" s="30"/>
    </row>
    <row r="63" spans="2:9" ht="18" customHeight="1">
      <c r="B63" s="53" t="s">
        <v>204</v>
      </c>
      <c r="C63" s="49"/>
      <c r="D63" s="43"/>
      <c r="E63" s="28" t="s">
        <v>484</v>
      </c>
      <c r="F63" s="30"/>
      <c r="G63" s="30"/>
      <c r="H63" s="30"/>
      <c r="I63" s="30"/>
    </row>
    <row r="64" spans="2:9" ht="18" customHeight="1">
      <c r="B64" s="53" t="s">
        <v>206</v>
      </c>
      <c r="C64" s="49"/>
      <c r="D64" s="43"/>
      <c r="E64" s="28" t="s">
        <v>485</v>
      </c>
      <c r="F64" s="30"/>
      <c r="G64" s="30"/>
      <c r="H64" s="30"/>
      <c r="I64" s="30"/>
    </row>
    <row r="65" spans="2:9" ht="18" customHeight="1">
      <c r="B65" s="53" t="s">
        <v>208</v>
      </c>
      <c r="C65" s="49"/>
      <c r="D65" s="43"/>
      <c r="E65" s="28" t="s">
        <v>486</v>
      </c>
      <c r="F65" s="30"/>
      <c r="G65" s="30"/>
      <c r="H65" s="30"/>
      <c r="I65" s="30"/>
    </row>
    <row r="66" spans="2:9" ht="18" customHeight="1">
      <c r="B66" s="53" t="s">
        <v>210</v>
      </c>
      <c r="C66" s="49"/>
      <c r="D66" s="43"/>
      <c r="E66" s="28" t="s">
        <v>487</v>
      </c>
      <c r="F66" s="30"/>
      <c r="G66" s="30"/>
      <c r="H66" s="30"/>
      <c r="I66" s="30"/>
    </row>
    <row r="67" spans="2:9" ht="14.25" customHeight="1"/>
    <row r="68" spans="2:9" ht="18" customHeight="1">
      <c r="B68" s="58" t="s">
        <v>212</v>
      </c>
      <c r="C68" s="49"/>
      <c r="D68" s="49"/>
      <c r="E68" s="49"/>
      <c r="F68" s="49"/>
      <c r="G68" s="49"/>
      <c r="H68" s="49"/>
      <c r="I68" s="43"/>
    </row>
    <row r="69" spans="2:9" ht="18" customHeight="1">
      <c r="B69" s="53" t="s">
        <v>202</v>
      </c>
      <c r="C69" s="49"/>
      <c r="D69" s="43"/>
      <c r="E69" s="28" t="s">
        <v>488</v>
      </c>
      <c r="F69" s="30"/>
      <c r="G69" s="30"/>
      <c r="H69" s="30"/>
      <c r="I69" s="30"/>
    </row>
    <row r="70" spans="2:9" ht="18" customHeight="1">
      <c r="B70" s="53" t="s">
        <v>204</v>
      </c>
      <c r="C70" s="49"/>
      <c r="D70" s="43"/>
      <c r="E70" s="28" t="s">
        <v>489</v>
      </c>
      <c r="F70" s="30"/>
      <c r="G70" s="30"/>
      <c r="H70" s="30"/>
      <c r="I70" s="30"/>
    </row>
    <row r="71" spans="2:9" ht="18" customHeight="1">
      <c r="B71" s="53" t="s">
        <v>206</v>
      </c>
      <c r="C71" s="49"/>
      <c r="D71" s="43"/>
      <c r="E71" s="28" t="s">
        <v>490</v>
      </c>
      <c r="F71" s="30"/>
      <c r="G71" s="30"/>
      <c r="H71" s="30"/>
      <c r="I71" s="30"/>
    </row>
    <row r="72" spans="2:9" ht="18" customHeight="1">
      <c r="B72" s="53" t="s">
        <v>208</v>
      </c>
      <c r="C72" s="49"/>
      <c r="D72" s="43"/>
      <c r="E72" s="28" t="s">
        <v>491</v>
      </c>
      <c r="F72" s="30"/>
      <c r="G72" s="30"/>
      <c r="H72" s="30"/>
      <c r="I72" s="30"/>
    </row>
    <row r="73" spans="2:9" ht="18" customHeight="1">
      <c r="B73" s="53" t="s">
        <v>210</v>
      </c>
      <c r="C73" s="49"/>
      <c r="D73" s="43"/>
      <c r="E73" s="28" t="s">
        <v>492</v>
      </c>
      <c r="F73" s="30"/>
      <c r="G73" s="30"/>
      <c r="H73" s="30"/>
      <c r="I73" s="30"/>
    </row>
    <row r="74" spans="2:9" ht="14.25" customHeight="1"/>
    <row r="75" spans="2:9" ht="18" customHeight="1">
      <c r="B75" s="58" t="s">
        <v>218</v>
      </c>
      <c r="C75" s="49"/>
      <c r="D75" s="49"/>
      <c r="E75" s="49"/>
      <c r="F75" s="49"/>
      <c r="G75" s="49"/>
      <c r="H75" s="49"/>
      <c r="I75" s="43"/>
    </row>
    <row r="76" spans="2:9" ht="18" customHeight="1">
      <c r="B76" s="53" t="s">
        <v>202</v>
      </c>
      <c r="C76" s="49"/>
      <c r="D76" s="43"/>
      <c r="E76" s="29" t="s">
        <v>493</v>
      </c>
      <c r="F76" s="24"/>
      <c r="G76" s="24"/>
      <c r="H76" s="24"/>
      <c r="I76" s="25"/>
    </row>
    <row r="77" spans="2:9" ht="18" customHeight="1">
      <c r="B77" s="53" t="s">
        <v>204</v>
      </c>
      <c r="C77" s="49"/>
      <c r="D77" s="43"/>
      <c r="E77" s="29" t="s">
        <v>494</v>
      </c>
      <c r="F77" s="24"/>
      <c r="G77" s="24"/>
      <c r="H77" s="24"/>
      <c r="I77" s="25"/>
    </row>
    <row r="78" spans="2:9" ht="18" customHeight="1">
      <c r="B78" s="53" t="s">
        <v>206</v>
      </c>
      <c r="C78" s="49"/>
      <c r="D78" s="43"/>
      <c r="E78" s="29" t="s">
        <v>495</v>
      </c>
      <c r="F78" s="24"/>
      <c r="G78" s="24"/>
      <c r="H78" s="24"/>
      <c r="I78" s="25"/>
    </row>
    <row r="79" spans="2:9" ht="18" customHeight="1">
      <c r="B79" s="53" t="s">
        <v>208</v>
      </c>
      <c r="C79" s="49"/>
      <c r="D79" s="43"/>
      <c r="E79" s="29" t="s">
        <v>496</v>
      </c>
      <c r="F79" s="24"/>
      <c r="G79" s="24"/>
      <c r="H79" s="24"/>
      <c r="I79" s="25"/>
    </row>
    <row r="80" spans="2:9" ht="18" customHeight="1">
      <c r="B80" s="53" t="s">
        <v>210</v>
      </c>
      <c r="C80" s="49"/>
      <c r="D80" s="43"/>
      <c r="E80" s="29" t="s">
        <v>497</v>
      </c>
      <c r="F80" s="24"/>
      <c r="G80" s="24"/>
      <c r="H80" s="24"/>
      <c r="I80" s="25"/>
    </row>
    <row r="81" spans="2:9" ht="14.25" customHeight="1"/>
    <row r="82" spans="2:9" ht="18" customHeight="1">
      <c r="B82" s="58" t="s">
        <v>224</v>
      </c>
      <c r="C82" s="49"/>
      <c r="D82" s="49"/>
      <c r="E82" s="49"/>
      <c r="F82" s="49"/>
      <c r="G82" s="49"/>
      <c r="H82" s="49"/>
      <c r="I82" s="43"/>
    </row>
    <row r="83" spans="2:9" ht="18" customHeight="1">
      <c r="B83" s="53" t="s">
        <v>202</v>
      </c>
      <c r="C83" s="49"/>
      <c r="D83" s="43"/>
      <c r="E83" s="29" t="s">
        <v>498</v>
      </c>
      <c r="F83" s="31"/>
      <c r="G83" s="31"/>
      <c r="H83" s="31"/>
      <c r="I83" s="32"/>
    </row>
    <row r="84" spans="2:9" ht="18" customHeight="1">
      <c r="B84" s="53" t="s">
        <v>204</v>
      </c>
      <c r="C84" s="49"/>
      <c r="D84" s="43"/>
      <c r="E84" s="29" t="s">
        <v>499</v>
      </c>
      <c r="F84" s="31"/>
      <c r="G84" s="31"/>
      <c r="H84" s="31"/>
      <c r="I84" s="32"/>
    </row>
    <row r="85" spans="2:9" ht="18" customHeight="1">
      <c r="B85" s="53" t="s">
        <v>206</v>
      </c>
      <c r="C85" s="49"/>
      <c r="D85" s="43"/>
      <c r="E85" s="29" t="s">
        <v>500</v>
      </c>
      <c r="F85" s="31"/>
      <c r="G85" s="31"/>
      <c r="H85" s="31"/>
      <c r="I85" s="32"/>
    </row>
    <row r="86" spans="2:9" ht="18" customHeight="1">
      <c r="B86" s="53" t="s">
        <v>208</v>
      </c>
      <c r="C86" s="49"/>
      <c r="D86" s="43"/>
      <c r="E86" s="29" t="s">
        <v>501</v>
      </c>
      <c r="F86" s="31"/>
      <c r="G86" s="31"/>
      <c r="H86" s="31"/>
      <c r="I86" s="32"/>
    </row>
    <row r="87" spans="2:9" ht="18" customHeight="1">
      <c r="B87" s="53" t="s">
        <v>210</v>
      </c>
      <c r="C87" s="49"/>
      <c r="D87" s="43"/>
      <c r="E87" s="29" t="s">
        <v>502</v>
      </c>
      <c r="F87" s="31"/>
      <c r="G87" s="31"/>
      <c r="H87" s="31"/>
      <c r="I87" s="32"/>
    </row>
    <row r="88" spans="2:9" ht="14.25" customHeight="1"/>
    <row r="89" spans="2:9" ht="18" customHeight="1">
      <c r="B89" s="58" t="s">
        <v>230</v>
      </c>
      <c r="C89" s="49"/>
      <c r="D89" s="49"/>
      <c r="E89" s="49"/>
      <c r="F89" s="49"/>
      <c r="G89" s="49"/>
      <c r="H89" s="49"/>
      <c r="I89" s="43"/>
    </row>
    <row r="90" spans="2:9" ht="18" customHeight="1">
      <c r="B90" s="53" t="s">
        <v>202</v>
      </c>
      <c r="C90" s="49"/>
      <c r="D90" s="43"/>
      <c r="E90" s="29" t="s">
        <v>503</v>
      </c>
      <c r="F90" s="24"/>
      <c r="G90" s="24"/>
      <c r="H90" s="24"/>
      <c r="I90" s="25"/>
    </row>
    <row r="91" spans="2:9" ht="18" customHeight="1">
      <c r="B91" s="53" t="s">
        <v>204</v>
      </c>
      <c r="C91" s="49"/>
      <c r="D91" s="43"/>
      <c r="E91" s="29" t="s">
        <v>504</v>
      </c>
      <c r="F91" s="24"/>
      <c r="G91" s="24"/>
      <c r="H91" s="24"/>
      <c r="I91" s="25"/>
    </row>
    <row r="92" spans="2:9" ht="18" customHeight="1">
      <c r="B92" s="53" t="s">
        <v>206</v>
      </c>
      <c r="C92" s="49"/>
      <c r="D92" s="43"/>
      <c r="E92" s="29" t="s">
        <v>505</v>
      </c>
      <c r="F92" s="24"/>
      <c r="G92" s="24"/>
      <c r="H92" s="24"/>
      <c r="I92" s="25"/>
    </row>
    <row r="93" spans="2:9" ht="18" customHeight="1">
      <c r="B93" s="53" t="s">
        <v>208</v>
      </c>
      <c r="C93" s="49"/>
      <c r="D93" s="43"/>
      <c r="E93" s="29" t="s">
        <v>506</v>
      </c>
      <c r="F93" s="24"/>
      <c r="G93" s="24"/>
      <c r="H93" s="24"/>
      <c r="I93" s="25"/>
    </row>
    <row r="94" spans="2:9" ht="18" customHeight="1">
      <c r="B94" s="53" t="s">
        <v>210</v>
      </c>
      <c r="C94" s="49"/>
      <c r="D94" s="43"/>
      <c r="E94" s="29" t="s">
        <v>507</v>
      </c>
      <c r="F94" s="24"/>
      <c r="G94" s="24"/>
      <c r="H94" s="24"/>
      <c r="I94" s="25"/>
    </row>
    <row r="95" spans="2:9" ht="14.25" customHeight="1"/>
    <row r="96" spans="2:9" ht="15.75" customHeight="1">
      <c r="B96" s="60" t="s">
        <v>508</v>
      </c>
      <c r="C96" s="49"/>
      <c r="D96" s="49"/>
      <c r="E96" s="49"/>
      <c r="F96" s="49"/>
      <c r="G96" s="49"/>
      <c r="H96" s="49"/>
      <c r="I96" s="43"/>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65">
    <mergeCell ref="B52:D52"/>
    <mergeCell ref="B53:D53"/>
    <mergeCell ref="B54:D54"/>
    <mergeCell ref="B62:D62"/>
    <mergeCell ref="B63:D63"/>
    <mergeCell ref="B47:D47"/>
    <mergeCell ref="B48:D48"/>
    <mergeCell ref="B49:D49"/>
    <mergeCell ref="B50:D50"/>
    <mergeCell ref="B51:D51"/>
    <mergeCell ref="B42:D42"/>
    <mergeCell ref="B43:D43"/>
    <mergeCell ref="B44:D44"/>
    <mergeCell ref="B45:D45"/>
    <mergeCell ref="B46:D46"/>
    <mergeCell ref="B30:I30"/>
    <mergeCell ref="B34:I34"/>
    <mergeCell ref="B39:I39"/>
    <mergeCell ref="B40:I40"/>
    <mergeCell ref="E41:I41"/>
    <mergeCell ref="B18:I18"/>
    <mergeCell ref="G19:H19"/>
    <mergeCell ref="D19:F19"/>
    <mergeCell ref="B20:I20"/>
    <mergeCell ref="B26:I26"/>
    <mergeCell ref="B2:I2"/>
    <mergeCell ref="B3:I3"/>
    <mergeCell ref="B5:I5"/>
    <mergeCell ref="B6:I6"/>
    <mergeCell ref="B17:I17"/>
    <mergeCell ref="B92:D92"/>
    <mergeCell ref="B93:D93"/>
    <mergeCell ref="B94:D94"/>
    <mergeCell ref="B96:I96"/>
    <mergeCell ref="B89:I89"/>
    <mergeCell ref="B90:D90"/>
    <mergeCell ref="B91:D91"/>
    <mergeCell ref="B85:D85"/>
    <mergeCell ref="B86:D86"/>
    <mergeCell ref="B87:D87"/>
    <mergeCell ref="B82:I82"/>
    <mergeCell ref="B83:D83"/>
    <mergeCell ref="B84:D84"/>
    <mergeCell ref="B79:D79"/>
    <mergeCell ref="B80:D80"/>
    <mergeCell ref="B76:D76"/>
    <mergeCell ref="B77:D77"/>
    <mergeCell ref="B78:D78"/>
    <mergeCell ref="B70:D70"/>
    <mergeCell ref="B71:D71"/>
    <mergeCell ref="B72:D72"/>
    <mergeCell ref="B73:D73"/>
    <mergeCell ref="B75:I75"/>
    <mergeCell ref="B60:I60"/>
    <mergeCell ref="B61:I61"/>
    <mergeCell ref="B66:D66"/>
    <mergeCell ref="B68:I68"/>
    <mergeCell ref="B69:D69"/>
    <mergeCell ref="B64:D64"/>
    <mergeCell ref="B65:D65"/>
    <mergeCell ref="B55:D55"/>
    <mergeCell ref="B56:D56"/>
    <mergeCell ref="B57:D57"/>
    <mergeCell ref="E58:I58"/>
    <mergeCell ref="B59:I59"/>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003"/>
  <sheetViews>
    <sheetView showGridLines="0" workbookViewId="0"/>
  </sheetViews>
  <sheetFormatPr defaultColWidth="14.42578125" defaultRowHeight="15" customHeight="1"/>
  <cols>
    <col min="1" max="1" width="3" customWidth="1"/>
    <col min="2" max="2" width="12" customWidth="1"/>
    <col min="3" max="3" width="6" customWidth="1"/>
    <col min="4" max="4" width="12.7109375" customWidth="1"/>
    <col min="5" max="5" width="63.42578125" customWidth="1"/>
    <col min="6" max="6" width="28.85546875" customWidth="1"/>
    <col min="7" max="7" width="12" customWidth="1"/>
    <col min="8" max="8" width="56.85546875" customWidth="1"/>
    <col min="9" max="9" width="28.42578125" customWidth="1"/>
    <col min="10" max="26" width="8.5703125" customWidth="1"/>
  </cols>
  <sheetData>
    <row r="1" spans="2:9" ht="13.5" customHeight="1"/>
    <row r="2" spans="2:9" ht="33.75" customHeight="1">
      <c r="B2" s="61" t="s">
        <v>509</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18" customHeight="1">
      <c r="B8" s="21">
        <v>46211</v>
      </c>
      <c r="C8" s="5" t="s">
        <v>53</v>
      </c>
      <c r="D8" s="5" t="s">
        <v>95</v>
      </c>
      <c r="E8" s="5" t="s">
        <v>510</v>
      </c>
      <c r="F8" s="5" t="s">
        <v>511</v>
      </c>
      <c r="G8" s="5" t="s">
        <v>98</v>
      </c>
      <c r="H8" s="5" t="s">
        <v>512</v>
      </c>
      <c r="I8" s="5" t="s">
        <v>513</v>
      </c>
    </row>
    <row r="9" spans="2:9" ht="18" customHeight="1">
      <c r="B9" s="21">
        <v>46212</v>
      </c>
      <c r="C9" s="5" t="s">
        <v>58</v>
      </c>
      <c r="D9" s="5" t="s">
        <v>95</v>
      </c>
      <c r="E9" s="5" t="s">
        <v>514</v>
      </c>
      <c r="F9" s="5" t="s">
        <v>242</v>
      </c>
      <c r="G9" s="5" t="s">
        <v>103</v>
      </c>
      <c r="H9" s="5" t="s">
        <v>515</v>
      </c>
      <c r="I9" s="5" t="s">
        <v>516</v>
      </c>
    </row>
    <row r="10" spans="2:9" ht="18" customHeight="1">
      <c r="B10" s="21">
        <v>46213</v>
      </c>
      <c r="C10" s="5" t="s">
        <v>63</v>
      </c>
      <c r="D10" s="5" t="s">
        <v>110</v>
      </c>
      <c r="E10" s="5" t="s">
        <v>517</v>
      </c>
      <c r="F10" s="5" t="s">
        <v>246</v>
      </c>
      <c r="G10" s="5" t="s">
        <v>98</v>
      </c>
      <c r="H10" s="5" t="s">
        <v>518</v>
      </c>
      <c r="I10" s="5" t="s">
        <v>519</v>
      </c>
    </row>
    <row r="11" spans="2:9" ht="18" customHeight="1">
      <c r="B11" s="21">
        <v>46214</v>
      </c>
      <c r="C11" s="5" t="s">
        <v>67</v>
      </c>
      <c r="D11" s="5" t="s">
        <v>95</v>
      </c>
      <c r="E11" s="5" t="s">
        <v>520</v>
      </c>
      <c r="F11" s="5" t="s">
        <v>521</v>
      </c>
      <c r="G11" s="5" t="s">
        <v>98</v>
      </c>
      <c r="H11" s="5" t="s">
        <v>522</v>
      </c>
      <c r="I11" s="5" t="s">
        <v>523</v>
      </c>
    </row>
    <row r="12" spans="2:9" ht="18" customHeight="1">
      <c r="B12" s="21">
        <v>46215</v>
      </c>
      <c r="C12" s="5" t="s">
        <v>71</v>
      </c>
      <c r="D12" s="5" t="s">
        <v>95</v>
      </c>
      <c r="E12" s="5" t="s">
        <v>524</v>
      </c>
      <c r="F12" s="5" t="s">
        <v>158</v>
      </c>
      <c r="G12" s="5" t="s">
        <v>117</v>
      </c>
      <c r="H12" s="5" t="s">
        <v>525</v>
      </c>
      <c r="I12" s="5" t="s">
        <v>526</v>
      </c>
    </row>
    <row r="13" spans="2:9" ht="18" customHeight="1">
      <c r="B13" s="21">
        <v>46216</v>
      </c>
      <c r="C13" s="5" t="s">
        <v>58</v>
      </c>
      <c r="D13" s="5" t="s">
        <v>110</v>
      </c>
      <c r="E13" s="5" t="s">
        <v>527</v>
      </c>
      <c r="F13" s="5" t="s">
        <v>250</v>
      </c>
      <c r="G13" s="5" t="s">
        <v>98</v>
      </c>
      <c r="H13" s="5" t="s">
        <v>528</v>
      </c>
      <c r="I13" s="5" t="s">
        <v>529</v>
      </c>
    </row>
    <row r="14" spans="2:9" ht="18" customHeight="1">
      <c r="B14" s="21">
        <v>46217</v>
      </c>
      <c r="C14" s="5" t="s">
        <v>53</v>
      </c>
      <c r="D14" s="5" t="s">
        <v>95</v>
      </c>
      <c r="E14" s="5" t="s">
        <v>530</v>
      </c>
      <c r="F14" s="5" t="s">
        <v>258</v>
      </c>
      <c r="G14" s="5" t="s">
        <v>117</v>
      </c>
      <c r="H14" s="5" t="s">
        <v>531</v>
      </c>
      <c r="I14" s="5" t="s">
        <v>352</v>
      </c>
    </row>
    <row r="15" spans="2:9" ht="18" customHeight="1">
      <c r="B15" s="1"/>
      <c r="C15" s="1"/>
      <c r="D15" s="1"/>
      <c r="E15" s="1"/>
      <c r="F15" s="1"/>
      <c r="G15" s="1"/>
      <c r="H15" s="1"/>
      <c r="I15" s="1"/>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5" t="s">
        <v>53</v>
      </c>
      <c r="D21" s="5"/>
      <c r="E21" s="5" t="s">
        <v>532</v>
      </c>
      <c r="F21" s="1"/>
      <c r="G21" s="1"/>
      <c r="H21" s="5" t="s">
        <v>511</v>
      </c>
      <c r="I21" s="5" t="s">
        <v>533</v>
      </c>
    </row>
    <row r="22" spans="2:9" ht="18" customHeight="1">
      <c r="B22" s="1"/>
      <c r="C22" s="5" t="s">
        <v>58</v>
      </c>
      <c r="D22" s="5"/>
      <c r="E22" s="5" t="s">
        <v>534</v>
      </c>
      <c r="F22" s="1"/>
      <c r="G22" s="1"/>
      <c r="H22" s="5" t="s">
        <v>242</v>
      </c>
      <c r="I22" s="5" t="s">
        <v>535</v>
      </c>
    </row>
    <row r="23" spans="2:9" ht="18" customHeight="1">
      <c r="B23" s="1"/>
      <c r="C23" s="5" t="s">
        <v>63</v>
      </c>
      <c r="D23" s="5"/>
      <c r="E23" s="5" t="s">
        <v>536</v>
      </c>
      <c r="F23" s="1"/>
      <c r="G23" s="1"/>
      <c r="H23" s="5" t="s">
        <v>268</v>
      </c>
      <c r="I23" s="5" t="s">
        <v>537</v>
      </c>
    </row>
    <row r="24" spans="2:9" ht="18" customHeight="1">
      <c r="B24" s="1"/>
      <c r="C24" s="5" t="s">
        <v>63</v>
      </c>
      <c r="D24" s="5"/>
      <c r="E24" s="5" t="s">
        <v>538</v>
      </c>
      <c r="F24" s="1"/>
      <c r="G24" s="1"/>
      <c r="H24" s="5" t="s">
        <v>271</v>
      </c>
      <c r="I24" s="5" t="s">
        <v>539</v>
      </c>
    </row>
    <row r="25" spans="2:9" ht="18" customHeight="1">
      <c r="B25" s="1"/>
      <c r="C25" s="5" t="s">
        <v>67</v>
      </c>
      <c r="D25" s="5"/>
      <c r="E25" s="5" t="s">
        <v>540</v>
      </c>
      <c r="F25" s="1"/>
      <c r="G25" s="1"/>
      <c r="H25" s="5" t="s">
        <v>521</v>
      </c>
      <c r="I25" s="5" t="s">
        <v>541</v>
      </c>
    </row>
    <row r="26" spans="2:9" ht="18" customHeight="1">
      <c r="B26" s="1"/>
      <c r="C26" s="5" t="s">
        <v>71</v>
      </c>
      <c r="D26" s="5"/>
      <c r="E26" s="5" t="s">
        <v>542</v>
      </c>
      <c r="F26" s="1"/>
      <c r="G26" s="1"/>
      <c r="H26" s="5" t="s">
        <v>250</v>
      </c>
      <c r="I26" s="5" t="s">
        <v>543</v>
      </c>
    </row>
    <row r="27" spans="2:9" ht="15.75" customHeight="1">
      <c r="B27" s="64" t="s">
        <v>150</v>
      </c>
      <c r="C27" s="49"/>
      <c r="D27" s="49"/>
      <c r="E27" s="49"/>
      <c r="F27" s="49"/>
      <c r="G27" s="49"/>
      <c r="H27" s="49"/>
      <c r="I27" s="43"/>
    </row>
    <row r="28" spans="2:9" ht="18" customHeight="1">
      <c r="B28" s="1"/>
      <c r="C28" s="5" t="s">
        <v>58</v>
      </c>
      <c r="E28" s="5" t="s">
        <v>544</v>
      </c>
      <c r="F28" s="1"/>
      <c r="G28" s="1"/>
      <c r="H28" s="22" t="s">
        <v>242</v>
      </c>
      <c r="I28" s="22" t="s">
        <v>545</v>
      </c>
    </row>
    <row r="29" spans="2:9" ht="18" customHeight="1">
      <c r="B29" s="1"/>
      <c r="C29" s="5" t="s">
        <v>63</v>
      </c>
      <c r="E29" s="5" t="s">
        <v>546</v>
      </c>
      <c r="F29" s="1"/>
      <c r="G29" s="1"/>
      <c r="H29" s="22" t="s">
        <v>268</v>
      </c>
      <c r="I29" s="22" t="s">
        <v>547</v>
      </c>
    </row>
    <row r="30" spans="2:9" ht="18" customHeight="1">
      <c r="B30" s="1"/>
      <c r="C30" s="5" t="s">
        <v>67</v>
      </c>
      <c r="E30" s="5" t="s">
        <v>548</v>
      </c>
      <c r="F30" s="1"/>
      <c r="G30" s="1"/>
      <c r="H30" s="22" t="s">
        <v>158</v>
      </c>
      <c r="I30" s="22" t="s">
        <v>153</v>
      </c>
    </row>
    <row r="31" spans="2:9" ht="15.75" customHeight="1">
      <c r="B31" s="64" t="s">
        <v>160</v>
      </c>
      <c r="C31" s="49"/>
      <c r="D31" s="49"/>
      <c r="E31" s="49"/>
      <c r="F31" s="49"/>
      <c r="G31" s="49"/>
      <c r="H31" s="49"/>
      <c r="I31" s="43"/>
    </row>
    <row r="32" spans="2:9" ht="18" customHeight="1">
      <c r="B32" s="1"/>
      <c r="C32" s="5" t="s">
        <v>53</v>
      </c>
      <c r="D32" s="5"/>
      <c r="E32" s="5" t="s">
        <v>549</v>
      </c>
      <c r="F32" s="1"/>
      <c r="G32" s="1"/>
      <c r="H32" s="5" t="s">
        <v>511</v>
      </c>
      <c r="I32" s="5" t="s">
        <v>299</v>
      </c>
    </row>
    <row r="33" spans="2:9" ht="18" customHeight="1">
      <c r="B33" s="1"/>
      <c r="C33" s="5" t="s">
        <v>58</v>
      </c>
      <c r="D33" s="5"/>
      <c r="E33" s="5" t="s">
        <v>550</v>
      </c>
      <c r="F33" s="1"/>
      <c r="G33" s="1"/>
      <c r="H33" s="5" t="s">
        <v>250</v>
      </c>
      <c r="I33" s="5" t="s">
        <v>551</v>
      </c>
    </row>
    <row r="34" spans="2:9" ht="18" customHeight="1">
      <c r="B34" s="1"/>
      <c r="C34" s="5" t="s">
        <v>67</v>
      </c>
      <c r="D34" s="5"/>
      <c r="E34" s="5" t="s">
        <v>552</v>
      </c>
      <c r="F34" s="1"/>
      <c r="G34" s="1"/>
      <c r="H34" s="5" t="s">
        <v>268</v>
      </c>
      <c r="I34" s="5" t="s">
        <v>553</v>
      </c>
    </row>
    <row r="35" spans="2:9" ht="15.75" customHeight="1">
      <c r="B35" s="64" t="s">
        <v>170</v>
      </c>
      <c r="C35" s="49"/>
      <c r="D35" s="49"/>
      <c r="E35" s="49"/>
      <c r="F35" s="49"/>
      <c r="G35" s="49"/>
      <c r="H35" s="49"/>
      <c r="I35" s="43"/>
    </row>
    <row r="36" spans="2:9" ht="18" customHeight="1">
      <c r="B36" s="1"/>
      <c r="C36" s="1"/>
      <c r="D36" s="1"/>
      <c r="E36" s="1"/>
      <c r="F36" s="1"/>
      <c r="G36" s="1"/>
      <c r="H36" s="1"/>
      <c r="I36" s="1"/>
    </row>
    <row r="37" spans="2:9" ht="18" customHeight="1">
      <c r="B37" s="1"/>
      <c r="C37" s="1"/>
      <c r="D37" s="1"/>
      <c r="E37" s="1"/>
      <c r="F37" s="1"/>
      <c r="G37" s="1"/>
      <c r="H37" s="1"/>
      <c r="I37" s="1"/>
    </row>
    <row r="38" spans="2:9" ht="18" customHeight="1">
      <c r="B38" s="1"/>
      <c r="C38" s="1"/>
      <c r="D38" s="1"/>
      <c r="E38" s="1"/>
      <c r="F38" s="1"/>
      <c r="G38" s="1"/>
      <c r="H38" s="1"/>
      <c r="I38" s="1"/>
    </row>
    <row r="39" spans="2:9" ht="14.25" customHeight="1"/>
    <row r="40" spans="2:9" ht="21.75" customHeight="1">
      <c r="B40" s="47" t="s">
        <v>290</v>
      </c>
      <c r="C40" s="49"/>
      <c r="D40" s="49"/>
      <c r="E40" s="49"/>
      <c r="F40" s="49"/>
      <c r="G40" s="49"/>
      <c r="H40" s="49"/>
      <c r="I40" s="43"/>
    </row>
    <row r="41" spans="2:9" ht="13.5" customHeight="1">
      <c r="B41" s="56" t="s">
        <v>172</v>
      </c>
      <c r="C41" s="57"/>
      <c r="D41" s="57"/>
      <c r="E41" s="57"/>
      <c r="F41" s="57"/>
      <c r="G41" s="57"/>
      <c r="H41" s="57"/>
      <c r="I41" s="57"/>
    </row>
    <row r="42" spans="2:9" ht="19.5" customHeight="1">
      <c r="B42" s="20" t="s">
        <v>173</v>
      </c>
      <c r="C42" s="20" t="s">
        <v>174</v>
      </c>
      <c r="D42" s="20" t="s">
        <v>175</v>
      </c>
      <c r="E42" s="65" t="s">
        <v>176</v>
      </c>
      <c r="F42" s="49"/>
      <c r="G42" s="49"/>
      <c r="H42" s="49"/>
      <c r="I42" s="43"/>
    </row>
    <row r="43" spans="2:9" ht="21.75" customHeight="1">
      <c r="B43" s="66" t="s">
        <v>554</v>
      </c>
      <c r="C43" s="49"/>
      <c r="D43" s="43"/>
      <c r="E43" s="26" t="s">
        <v>555</v>
      </c>
      <c r="F43" s="11"/>
      <c r="G43" s="11"/>
      <c r="H43" s="11"/>
      <c r="I43" s="27"/>
    </row>
    <row r="44" spans="2:9" ht="21.75" customHeight="1">
      <c r="B44" s="54" t="s">
        <v>179</v>
      </c>
      <c r="C44" s="49"/>
      <c r="D44" s="43"/>
      <c r="E44" s="26" t="s">
        <v>556</v>
      </c>
      <c r="F44" s="11"/>
      <c r="G44" s="11"/>
      <c r="H44" s="11"/>
      <c r="I44" s="27"/>
    </row>
    <row r="45" spans="2:9" ht="21.75" customHeight="1">
      <c r="B45" s="54" t="s">
        <v>181</v>
      </c>
      <c r="C45" s="49"/>
      <c r="D45" s="43"/>
      <c r="E45" s="26" t="s">
        <v>557</v>
      </c>
      <c r="F45" s="11"/>
      <c r="G45" s="11"/>
      <c r="H45" s="11"/>
      <c r="I45" s="27"/>
    </row>
    <row r="46" spans="2:9" ht="21.75" customHeight="1">
      <c r="B46" s="54" t="s">
        <v>183</v>
      </c>
      <c r="C46" s="49"/>
      <c r="D46" s="43"/>
      <c r="E46" s="26" t="s">
        <v>558</v>
      </c>
      <c r="F46" s="11"/>
      <c r="G46" s="11"/>
      <c r="H46" s="11"/>
      <c r="I46" s="27"/>
    </row>
    <row r="47" spans="2:9" ht="21.75" customHeight="1">
      <c r="B47" s="66" t="s">
        <v>559</v>
      </c>
      <c r="C47" s="49"/>
      <c r="D47" s="43"/>
      <c r="E47" s="26" t="s">
        <v>560</v>
      </c>
      <c r="F47" s="11"/>
      <c r="G47" s="11"/>
      <c r="H47" s="11"/>
      <c r="I47" s="27"/>
    </row>
    <row r="48" spans="2:9" ht="21.75" customHeight="1">
      <c r="B48" s="54" t="s">
        <v>179</v>
      </c>
      <c r="C48" s="49"/>
      <c r="D48" s="43"/>
      <c r="E48" s="26" t="s">
        <v>561</v>
      </c>
      <c r="F48" s="11"/>
      <c r="G48" s="11"/>
      <c r="H48" s="11"/>
      <c r="I48" s="27"/>
    </row>
    <row r="49" spans="2:9" ht="21.75" customHeight="1">
      <c r="B49" s="54" t="s">
        <v>181</v>
      </c>
      <c r="C49" s="49"/>
      <c r="D49" s="43"/>
      <c r="E49" s="26" t="s">
        <v>562</v>
      </c>
      <c r="F49" s="11"/>
      <c r="G49" s="11"/>
      <c r="H49" s="11"/>
      <c r="I49" s="27"/>
    </row>
    <row r="50" spans="2:9" ht="21.75" customHeight="1">
      <c r="B50" s="54" t="s">
        <v>183</v>
      </c>
      <c r="C50" s="49"/>
      <c r="D50" s="43"/>
      <c r="E50" s="26" t="s">
        <v>563</v>
      </c>
      <c r="F50" s="11"/>
      <c r="G50" s="11"/>
      <c r="H50" s="11"/>
      <c r="I50" s="27"/>
    </row>
    <row r="51" spans="2:9" ht="21.75" customHeight="1">
      <c r="B51" s="66" t="s">
        <v>564</v>
      </c>
      <c r="C51" s="49"/>
      <c r="D51" s="43"/>
      <c r="E51" s="26" t="s">
        <v>565</v>
      </c>
      <c r="F51" s="11"/>
      <c r="G51" s="11"/>
      <c r="H51" s="11"/>
      <c r="I51" s="27"/>
    </row>
    <row r="52" spans="2:9" ht="21.75" customHeight="1">
      <c r="B52" s="54" t="s">
        <v>179</v>
      </c>
      <c r="C52" s="49"/>
      <c r="D52" s="43"/>
      <c r="E52" s="26" t="s">
        <v>566</v>
      </c>
      <c r="F52" s="11"/>
      <c r="G52" s="11"/>
      <c r="H52" s="11"/>
      <c r="I52" s="27"/>
    </row>
    <row r="53" spans="2:9" ht="21.75" customHeight="1">
      <c r="B53" s="54" t="s">
        <v>181</v>
      </c>
      <c r="C53" s="49"/>
      <c r="D53" s="43"/>
      <c r="E53" s="26" t="s">
        <v>567</v>
      </c>
      <c r="F53" s="11"/>
      <c r="G53" s="11"/>
      <c r="H53" s="11"/>
      <c r="I53" s="27"/>
    </row>
    <row r="54" spans="2:9" ht="21.75" customHeight="1">
      <c r="B54" s="54" t="s">
        <v>183</v>
      </c>
      <c r="C54" s="49"/>
      <c r="D54" s="43"/>
      <c r="E54" s="26" t="s">
        <v>568</v>
      </c>
      <c r="F54" s="11"/>
      <c r="G54" s="11"/>
      <c r="H54" s="11"/>
      <c r="I54" s="27"/>
    </row>
    <row r="55" spans="2:9" ht="21.75" customHeight="1">
      <c r="B55" s="66" t="s">
        <v>194</v>
      </c>
      <c r="C55" s="49"/>
      <c r="D55" s="43"/>
      <c r="E55" s="26" t="s">
        <v>569</v>
      </c>
      <c r="F55" s="11"/>
      <c r="G55" s="11"/>
      <c r="H55" s="11"/>
      <c r="I55" s="27"/>
    </row>
    <row r="56" spans="2:9" ht="21.75" customHeight="1">
      <c r="B56" s="54" t="s">
        <v>179</v>
      </c>
      <c r="C56" s="49"/>
      <c r="D56" s="43"/>
      <c r="E56" s="26" t="s">
        <v>570</v>
      </c>
      <c r="F56" s="11"/>
      <c r="G56" s="11"/>
      <c r="H56" s="11"/>
      <c r="I56" s="27"/>
    </row>
    <row r="57" spans="2:9" ht="21.75" customHeight="1">
      <c r="B57" s="54" t="s">
        <v>181</v>
      </c>
      <c r="C57" s="49"/>
      <c r="D57" s="43"/>
      <c r="E57" s="26" t="s">
        <v>571</v>
      </c>
      <c r="F57" s="11"/>
      <c r="G57" s="11"/>
      <c r="H57" s="11"/>
      <c r="I57" s="27"/>
    </row>
    <row r="58" spans="2:9" ht="21.75" customHeight="1">
      <c r="B58" s="54" t="s">
        <v>183</v>
      </c>
      <c r="C58" s="49"/>
      <c r="D58" s="43"/>
      <c r="E58" s="26" t="s">
        <v>572</v>
      </c>
      <c r="F58" s="11"/>
      <c r="G58" s="11"/>
      <c r="H58" s="11"/>
      <c r="I58" s="27"/>
    </row>
    <row r="59" spans="2:9" ht="14.25" customHeight="1">
      <c r="E59" s="50"/>
      <c r="F59" s="49"/>
      <c r="G59" s="49"/>
      <c r="H59" s="49"/>
      <c r="I59" s="43"/>
    </row>
    <row r="60" spans="2:9" ht="21.75" customHeight="1">
      <c r="B60" s="55" t="s">
        <v>199</v>
      </c>
      <c r="C60" s="49"/>
      <c r="D60" s="49"/>
      <c r="E60" s="49"/>
      <c r="F60" s="49"/>
      <c r="G60" s="49"/>
      <c r="H60" s="49"/>
      <c r="I60" s="43"/>
    </row>
    <row r="61" spans="2:9" ht="13.5" customHeight="1">
      <c r="B61" s="56" t="s">
        <v>200</v>
      </c>
      <c r="C61" s="57"/>
      <c r="D61" s="57"/>
      <c r="E61" s="57"/>
      <c r="F61" s="57"/>
      <c r="G61" s="57"/>
      <c r="H61" s="57"/>
      <c r="I61" s="57"/>
    </row>
    <row r="62" spans="2:9" ht="18" customHeight="1">
      <c r="B62" s="58" t="s">
        <v>201</v>
      </c>
      <c r="C62" s="49"/>
      <c r="D62" s="49"/>
      <c r="E62" s="49"/>
      <c r="F62" s="49"/>
      <c r="G62" s="49"/>
      <c r="H62" s="49"/>
      <c r="I62" s="43"/>
    </row>
    <row r="63" spans="2:9" ht="18" customHeight="1">
      <c r="B63" s="53" t="s">
        <v>202</v>
      </c>
      <c r="C63" s="49"/>
      <c r="D63" s="43"/>
      <c r="E63" s="28" t="s">
        <v>573</v>
      </c>
      <c r="F63" s="12"/>
      <c r="G63" s="12"/>
      <c r="H63" s="12"/>
      <c r="I63" s="12"/>
    </row>
    <row r="64" spans="2:9" ht="18" customHeight="1">
      <c r="B64" s="53" t="s">
        <v>204</v>
      </c>
      <c r="C64" s="49"/>
      <c r="D64" s="43"/>
      <c r="E64" s="28" t="s">
        <v>574</v>
      </c>
      <c r="F64" s="12"/>
      <c r="G64" s="12"/>
      <c r="H64" s="12"/>
      <c r="I64" s="12"/>
    </row>
    <row r="65" spans="2:9" ht="18" customHeight="1">
      <c r="B65" s="53" t="s">
        <v>206</v>
      </c>
      <c r="C65" s="49"/>
      <c r="D65" s="43"/>
      <c r="E65" s="28" t="s">
        <v>575</v>
      </c>
      <c r="F65" s="12"/>
      <c r="G65" s="12"/>
      <c r="H65" s="12"/>
      <c r="I65" s="12"/>
    </row>
    <row r="66" spans="2:9" ht="18" customHeight="1">
      <c r="B66" s="53" t="s">
        <v>208</v>
      </c>
      <c r="C66" s="49"/>
      <c r="D66" s="43"/>
      <c r="E66" s="28" t="s">
        <v>576</v>
      </c>
      <c r="F66" s="12"/>
      <c r="G66" s="12"/>
      <c r="H66" s="12"/>
      <c r="I66" s="12"/>
    </row>
    <row r="67" spans="2:9" ht="18" customHeight="1">
      <c r="B67" s="53" t="s">
        <v>210</v>
      </c>
      <c r="C67" s="49"/>
      <c r="D67" s="43"/>
      <c r="E67" s="28" t="s">
        <v>577</v>
      </c>
      <c r="F67" s="12"/>
      <c r="G67" s="12"/>
      <c r="H67" s="12"/>
      <c r="I67" s="12"/>
    </row>
    <row r="68" spans="2:9" ht="14.25" customHeight="1"/>
    <row r="69" spans="2:9" ht="18" customHeight="1">
      <c r="B69" s="58" t="s">
        <v>212</v>
      </c>
      <c r="C69" s="49"/>
      <c r="D69" s="49"/>
      <c r="E69" s="49"/>
      <c r="F69" s="49"/>
      <c r="G69" s="49"/>
      <c r="H69" s="49"/>
      <c r="I69" s="43"/>
    </row>
    <row r="70" spans="2:9" ht="18" customHeight="1">
      <c r="B70" s="53" t="s">
        <v>202</v>
      </c>
      <c r="C70" s="49"/>
      <c r="D70" s="43"/>
      <c r="E70" s="28" t="s">
        <v>578</v>
      </c>
      <c r="F70" s="12"/>
      <c r="G70" s="12"/>
      <c r="H70" s="12"/>
      <c r="I70" s="12"/>
    </row>
    <row r="71" spans="2:9" ht="18" customHeight="1">
      <c r="B71" s="53" t="s">
        <v>204</v>
      </c>
      <c r="C71" s="49"/>
      <c r="D71" s="43"/>
      <c r="E71" s="28" t="s">
        <v>579</v>
      </c>
      <c r="F71" s="12"/>
      <c r="G71" s="12"/>
      <c r="H71" s="12"/>
      <c r="I71" s="12"/>
    </row>
    <row r="72" spans="2:9" ht="18" customHeight="1">
      <c r="B72" s="53" t="s">
        <v>206</v>
      </c>
      <c r="C72" s="49"/>
      <c r="D72" s="43"/>
      <c r="E72" s="28" t="s">
        <v>580</v>
      </c>
      <c r="F72" s="12"/>
      <c r="G72" s="12"/>
      <c r="H72" s="12"/>
      <c r="I72" s="12"/>
    </row>
    <row r="73" spans="2:9" ht="18" customHeight="1">
      <c r="B73" s="53" t="s">
        <v>208</v>
      </c>
      <c r="C73" s="49"/>
      <c r="D73" s="43"/>
      <c r="E73" s="28" t="s">
        <v>581</v>
      </c>
      <c r="F73" s="12"/>
      <c r="G73" s="12"/>
      <c r="H73" s="12"/>
      <c r="I73" s="12"/>
    </row>
    <row r="74" spans="2:9" ht="18" customHeight="1">
      <c r="B74" s="53" t="s">
        <v>210</v>
      </c>
      <c r="C74" s="49"/>
      <c r="D74" s="43"/>
      <c r="E74" s="28" t="s">
        <v>582</v>
      </c>
      <c r="F74" s="12"/>
      <c r="G74" s="12"/>
      <c r="H74" s="12"/>
      <c r="I74" s="12"/>
    </row>
    <row r="75" spans="2:9" ht="14.25" customHeight="1"/>
    <row r="76" spans="2:9" ht="18" customHeight="1">
      <c r="B76" s="58" t="s">
        <v>218</v>
      </c>
      <c r="C76" s="49"/>
      <c r="D76" s="49"/>
      <c r="E76" s="49"/>
      <c r="F76" s="49"/>
      <c r="G76" s="49"/>
      <c r="H76" s="49"/>
      <c r="I76" s="43"/>
    </row>
    <row r="77" spans="2:9" ht="18" customHeight="1">
      <c r="B77" s="53" t="s">
        <v>202</v>
      </c>
      <c r="C77" s="49"/>
      <c r="D77" s="43"/>
      <c r="E77" s="29" t="s">
        <v>583</v>
      </c>
      <c r="F77" s="24"/>
      <c r="G77" s="24"/>
      <c r="H77" s="24"/>
      <c r="I77" s="25"/>
    </row>
    <row r="78" spans="2:9" ht="18" customHeight="1">
      <c r="B78" s="53" t="s">
        <v>204</v>
      </c>
      <c r="C78" s="49"/>
      <c r="D78" s="43"/>
      <c r="E78" s="29" t="s">
        <v>584</v>
      </c>
      <c r="F78" s="24"/>
      <c r="G78" s="24"/>
      <c r="H78" s="24"/>
      <c r="I78" s="25"/>
    </row>
    <row r="79" spans="2:9" ht="18" customHeight="1">
      <c r="B79" s="53" t="s">
        <v>206</v>
      </c>
      <c r="C79" s="49"/>
      <c r="D79" s="43"/>
      <c r="E79" s="29" t="s">
        <v>585</v>
      </c>
      <c r="F79" s="24"/>
      <c r="G79" s="24"/>
      <c r="H79" s="24"/>
      <c r="I79" s="25"/>
    </row>
    <row r="80" spans="2:9" ht="18" customHeight="1">
      <c r="B80" s="53" t="s">
        <v>208</v>
      </c>
      <c r="C80" s="49"/>
      <c r="D80" s="43"/>
      <c r="E80" s="29" t="s">
        <v>586</v>
      </c>
      <c r="F80" s="24"/>
      <c r="G80" s="24"/>
      <c r="H80" s="24"/>
      <c r="I80" s="25"/>
    </row>
    <row r="81" spans="2:12" ht="18" customHeight="1">
      <c r="B81" s="53" t="s">
        <v>210</v>
      </c>
      <c r="C81" s="49"/>
      <c r="D81" s="43"/>
      <c r="E81" s="29" t="s">
        <v>587</v>
      </c>
      <c r="F81" s="24"/>
      <c r="G81" s="24"/>
      <c r="H81" s="24"/>
      <c r="I81" s="25"/>
    </row>
    <row r="82" spans="2:12" ht="14.25" customHeight="1"/>
    <row r="83" spans="2:12" ht="18" customHeight="1">
      <c r="B83" s="58" t="s">
        <v>224</v>
      </c>
      <c r="C83" s="49"/>
      <c r="D83" s="49"/>
      <c r="E83" s="49"/>
      <c r="F83" s="49"/>
      <c r="G83" s="49"/>
      <c r="H83" s="49"/>
      <c r="I83" s="43"/>
    </row>
    <row r="84" spans="2:12" ht="18" customHeight="1">
      <c r="B84" s="53" t="s">
        <v>202</v>
      </c>
      <c r="C84" s="49"/>
      <c r="D84" s="43"/>
      <c r="E84" s="29" t="s">
        <v>583</v>
      </c>
      <c r="F84" s="24"/>
      <c r="G84" s="24"/>
      <c r="H84" s="24"/>
      <c r="I84" s="25"/>
    </row>
    <row r="85" spans="2:12" ht="18" customHeight="1">
      <c r="B85" s="53" t="s">
        <v>204</v>
      </c>
      <c r="C85" s="49"/>
      <c r="D85" s="43"/>
      <c r="E85" s="29" t="s">
        <v>584</v>
      </c>
      <c r="F85" s="24"/>
      <c r="G85" s="24"/>
      <c r="H85" s="24"/>
      <c r="I85" s="25"/>
    </row>
    <row r="86" spans="2:12" ht="18" customHeight="1">
      <c r="B86" s="53" t="s">
        <v>206</v>
      </c>
      <c r="C86" s="49"/>
      <c r="D86" s="43"/>
      <c r="E86" s="29" t="s">
        <v>585</v>
      </c>
      <c r="F86" s="24"/>
      <c r="G86" s="24"/>
      <c r="H86" s="24"/>
      <c r="I86" s="25"/>
    </row>
    <row r="87" spans="2:12" ht="18" customHeight="1">
      <c r="B87" s="53" t="s">
        <v>208</v>
      </c>
      <c r="C87" s="49"/>
      <c r="D87" s="43"/>
      <c r="E87" s="29" t="s">
        <v>586</v>
      </c>
      <c r="F87" s="24"/>
      <c r="G87" s="24"/>
      <c r="H87" s="24"/>
      <c r="I87" s="25"/>
      <c r="L87" s="17" t="s">
        <v>588</v>
      </c>
    </row>
    <row r="88" spans="2:12" ht="18" customHeight="1">
      <c r="B88" s="53" t="s">
        <v>210</v>
      </c>
      <c r="C88" s="49"/>
      <c r="D88" s="43"/>
      <c r="E88" s="29" t="s">
        <v>587</v>
      </c>
      <c r="F88" s="24"/>
      <c r="G88" s="24"/>
      <c r="H88" s="24"/>
      <c r="I88" s="25"/>
    </row>
    <row r="89" spans="2:12" ht="14.25" customHeight="1"/>
    <row r="90" spans="2:12" ht="18" customHeight="1">
      <c r="B90" s="58" t="s">
        <v>230</v>
      </c>
      <c r="C90" s="49"/>
      <c r="D90" s="49"/>
      <c r="E90" s="49"/>
      <c r="F90" s="49"/>
      <c r="G90" s="49"/>
      <c r="H90" s="49"/>
      <c r="I90" s="43"/>
    </row>
    <row r="91" spans="2:12" ht="18" customHeight="1">
      <c r="B91" s="53" t="s">
        <v>202</v>
      </c>
      <c r="C91" s="49"/>
      <c r="D91" s="43"/>
      <c r="E91" s="29" t="s">
        <v>589</v>
      </c>
      <c r="F91" s="24"/>
      <c r="G91" s="24"/>
      <c r="H91" s="24"/>
      <c r="I91" s="25"/>
    </row>
    <row r="92" spans="2:12" ht="18" customHeight="1">
      <c r="B92" s="53" t="s">
        <v>204</v>
      </c>
      <c r="C92" s="49"/>
      <c r="D92" s="43"/>
      <c r="E92" s="29" t="s">
        <v>590</v>
      </c>
      <c r="F92" s="24"/>
      <c r="G92" s="24"/>
      <c r="H92" s="24"/>
      <c r="I92" s="25"/>
    </row>
    <row r="93" spans="2:12" ht="18" customHeight="1">
      <c r="B93" s="53" t="s">
        <v>206</v>
      </c>
      <c r="C93" s="49"/>
      <c r="D93" s="43"/>
      <c r="E93" s="29" t="s">
        <v>591</v>
      </c>
      <c r="F93" s="24"/>
      <c r="G93" s="24"/>
      <c r="H93" s="24"/>
      <c r="I93" s="25"/>
    </row>
    <row r="94" spans="2:12" ht="18" customHeight="1">
      <c r="B94" s="53" t="s">
        <v>208</v>
      </c>
      <c r="C94" s="49"/>
      <c r="D94" s="43"/>
      <c r="E94" s="29" t="s">
        <v>592</v>
      </c>
      <c r="F94" s="24"/>
      <c r="G94" s="24"/>
      <c r="H94" s="24"/>
      <c r="I94" s="25"/>
    </row>
    <row r="95" spans="2:12" ht="18" customHeight="1">
      <c r="B95" s="53" t="s">
        <v>210</v>
      </c>
      <c r="C95" s="49"/>
      <c r="D95" s="43"/>
      <c r="E95" s="29" t="s">
        <v>593</v>
      </c>
      <c r="F95" s="24"/>
      <c r="G95" s="24"/>
      <c r="H95" s="24"/>
      <c r="I95" s="25"/>
    </row>
    <row r="96" spans="2:12" ht="14.25" customHeight="1"/>
    <row r="97" spans="2:9" ht="15.75" customHeight="1">
      <c r="B97" s="60" t="s">
        <v>594</v>
      </c>
      <c r="C97" s="49"/>
      <c r="D97" s="49"/>
      <c r="E97" s="49"/>
      <c r="F97" s="49"/>
      <c r="G97" s="49"/>
      <c r="H97" s="49"/>
      <c r="I97" s="43"/>
    </row>
    <row r="98" spans="2:9" ht="14.25" customHeight="1"/>
    <row r="99" spans="2:9" ht="14.25" customHeight="1"/>
    <row r="100" spans="2:9" ht="14.25" customHeight="1"/>
    <row r="101" spans="2:9" ht="14.25" customHeight="1"/>
    <row r="102" spans="2:9" ht="14.25" customHeight="1"/>
    <row r="103" spans="2:9" ht="14.25" customHeight="1"/>
    <row r="104" spans="2:9" ht="14.25" customHeight="1"/>
    <row r="105" spans="2:9" ht="14.25" customHeight="1"/>
    <row r="106" spans="2:9" ht="14.25" customHeight="1"/>
    <row r="107" spans="2:9" ht="14.25" customHeight="1"/>
    <row r="108" spans="2:9" ht="14.25" customHeight="1"/>
    <row r="109" spans="2:9" ht="14.25" customHeight="1"/>
    <row r="110" spans="2:9" ht="14.25" customHeight="1"/>
    <row r="111" spans="2:9" ht="14.25" customHeight="1"/>
    <row r="112" spans="2:9"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65">
    <mergeCell ref="B53:D53"/>
    <mergeCell ref="B54:D54"/>
    <mergeCell ref="B55:D55"/>
    <mergeCell ref="B63:D63"/>
    <mergeCell ref="B64:D64"/>
    <mergeCell ref="B48:D48"/>
    <mergeCell ref="B49:D49"/>
    <mergeCell ref="B50:D50"/>
    <mergeCell ref="B51:D51"/>
    <mergeCell ref="B52:D52"/>
    <mergeCell ref="B43:D43"/>
    <mergeCell ref="B44:D44"/>
    <mergeCell ref="B45:D45"/>
    <mergeCell ref="B46:D46"/>
    <mergeCell ref="B47:D47"/>
    <mergeCell ref="B31:I31"/>
    <mergeCell ref="B35:I35"/>
    <mergeCell ref="B40:I40"/>
    <mergeCell ref="B41:I41"/>
    <mergeCell ref="E42:I42"/>
    <mergeCell ref="B18:I18"/>
    <mergeCell ref="G19:H19"/>
    <mergeCell ref="D19:F19"/>
    <mergeCell ref="B20:I20"/>
    <mergeCell ref="B27:I27"/>
    <mergeCell ref="B2:I2"/>
    <mergeCell ref="B3:I3"/>
    <mergeCell ref="B5:I5"/>
    <mergeCell ref="B6:I6"/>
    <mergeCell ref="B17:I17"/>
    <mergeCell ref="B93:D93"/>
    <mergeCell ref="B94:D94"/>
    <mergeCell ref="B95:D95"/>
    <mergeCell ref="B97:I97"/>
    <mergeCell ref="B90:I90"/>
    <mergeCell ref="B91:D91"/>
    <mergeCell ref="B92:D92"/>
    <mergeCell ref="B86:D86"/>
    <mergeCell ref="B87:D87"/>
    <mergeCell ref="B88:D88"/>
    <mergeCell ref="B83:I83"/>
    <mergeCell ref="B84:D84"/>
    <mergeCell ref="B85:D85"/>
    <mergeCell ref="B80:D80"/>
    <mergeCell ref="B81:D81"/>
    <mergeCell ref="B77:D77"/>
    <mergeCell ref="B78:D78"/>
    <mergeCell ref="B79:D79"/>
    <mergeCell ref="B71:D71"/>
    <mergeCell ref="B72:D72"/>
    <mergeCell ref="B73:D73"/>
    <mergeCell ref="B74:D74"/>
    <mergeCell ref="B76:I76"/>
    <mergeCell ref="B61:I61"/>
    <mergeCell ref="B62:I62"/>
    <mergeCell ref="B67:D67"/>
    <mergeCell ref="B69:I69"/>
    <mergeCell ref="B70:D70"/>
    <mergeCell ref="B65:D65"/>
    <mergeCell ref="B66:D66"/>
    <mergeCell ref="B56:D56"/>
    <mergeCell ref="B57:D57"/>
    <mergeCell ref="B58:D58"/>
    <mergeCell ref="E59:I59"/>
    <mergeCell ref="B60:I60"/>
  </mergeCell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2"/>
  <sheetViews>
    <sheetView showGridLines="0" workbookViewId="0"/>
  </sheetViews>
  <sheetFormatPr defaultColWidth="14.42578125" defaultRowHeight="15" customHeight="1"/>
  <cols>
    <col min="1" max="1" width="3" customWidth="1"/>
    <col min="2" max="2" width="12" customWidth="1"/>
    <col min="3" max="3" width="6" customWidth="1"/>
    <col min="4" max="4" width="51.5703125" customWidth="1"/>
    <col min="5" max="5" width="56.5703125" customWidth="1"/>
    <col min="6" max="6" width="29.42578125" customWidth="1"/>
    <col min="7" max="7" width="12" customWidth="1"/>
    <col min="8" max="8" width="60.28515625" customWidth="1"/>
    <col min="9" max="9" width="31" customWidth="1"/>
    <col min="10" max="26" width="8.5703125" customWidth="1"/>
  </cols>
  <sheetData>
    <row r="1" spans="2:9" ht="13.5" customHeight="1"/>
    <row r="2" spans="2:9" ht="33.75" customHeight="1">
      <c r="B2" s="61" t="s">
        <v>595</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18" customHeight="1">
      <c r="B8" s="33">
        <v>46196</v>
      </c>
      <c r="C8" s="1" t="s">
        <v>53</v>
      </c>
      <c r="D8" s="34" t="s">
        <v>596</v>
      </c>
      <c r="E8" s="35" t="s">
        <v>597</v>
      </c>
      <c r="F8" s="34" t="s">
        <v>598</v>
      </c>
      <c r="G8" s="34" t="s">
        <v>98</v>
      </c>
      <c r="H8" s="35" t="s">
        <v>599</v>
      </c>
      <c r="I8" s="35" t="s">
        <v>600</v>
      </c>
    </row>
    <row r="9" spans="2:9" ht="31.5" customHeight="1">
      <c r="B9" s="33">
        <v>46197</v>
      </c>
      <c r="C9" s="1" t="s">
        <v>58</v>
      </c>
      <c r="D9" s="34" t="s">
        <v>596</v>
      </c>
      <c r="E9" s="35" t="s">
        <v>601</v>
      </c>
      <c r="F9" s="34" t="s">
        <v>602</v>
      </c>
      <c r="G9" s="34" t="s">
        <v>98</v>
      </c>
      <c r="H9" s="35" t="s">
        <v>603</v>
      </c>
      <c r="I9" s="35" t="s">
        <v>604</v>
      </c>
    </row>
    <row r="10" spans="2:9" ht="33" customHeight="1">
      <c r="B10" s="33">
        <v>46198</v>
      </c>
      <c r="C10" s="1" t="s">
        <v>63</v>
      </c>
      <c r="D10" s="34" t="s">
        <v>605</v>
      </c>
      <c r="E10" s="35" t="s">
        <v>606</v>
      </c>
      <c r="F10" s="34" t="s">
        <v>607</v>
      </c>
      <c r="G10" s="34" t="s">
        <v>103</v>
      </c>
      <c r="H10" s="35" t="s">
        <v>608</v>
      </c>
      <c r="I10" s="35" t="s">
        <v>609</v>
      </c>
    </row>
    <row r="11" spans="2:9" ht="32.25" customHeight="1">
      <c r="B11" s="33">
        <v>46199</v>
      </c>
      <c r="C11" s="1" t="s">
        <v>67</v>
      </c>
      <c r="D11" s="34" t="s">
        <v>110</v>
      </c>
      <c r="E11" s="35" t="s">
        <v>610</v>
      </c>
      <c r="F11" s="34" t="s">
        <v>611</v>
      </c>
      <c r="G11" s="34" t="s">
        <v>103</v>
      </c>
      <c r="H11" s="35" t="s">
        <v>612</v>
      </c>
      <c r="I11" s="35" t="s">
        <v>613</v>
      </c>
    </row>
    <row r="12" spans="2:9" ht="33.75" customHeight="1">
      <c r="B12" s="33">
        <v>46200</v>
      </c>
      <c r="C12" s="1" t="s">
        <v>71</v>
      </c>
      <c r="D12" s="34" t="s">
        <v>596</v>
      </c>
      <c r="E12" s="35" t="s">
        <v>614</v>
      </c>
      <c r="F12" s="34" t="s">
        <v>615</v>
      </c>
      <c r="G12" s="34" t="s">
        <v>98</v>
      </c>
      <c r="H12" s="35" t="s">
        <v>616</v>
      </c>
      <c r="I12" s="35" t="s">
        <v>617</v>
      </c>
    </row>
    <row r="13" spans="2:9" ht="18" customHeight="1">
      <c r="B13" s="33">
        <v>46201</v>
      </c>
      <c r="C13" s="1" t="s">
        <v>58</v>
      </c>
      <c r="D13" s="34" t="s">
        <v>596</v>
      </c>
      <c r="E13" s="35" t="s">
        <v>618</v>
      </c>
      <c r="F13" s="34" t="s">
        <v>598</v>
      </c>
      <c r="G13" s="34" t="s">
        <v>98</v>
      </c>
      <c r="H13" s="35" t="s">
        <v>619</v>
      </c>
      <c r="I13" s="35" t="s">
        <v>620</v>
      </c>
    </row>
    <row r="14" spans="2:9" ht="18" customHeight="1">
      <c r="B14" s="1"/>
      <c r="C14" s="1"/>
      <c r="D14" s="1"/>
      <c r="E14" s="1"/>
      <c r="F14" s="1"/>
      <c r="G14" s="1"/>
      <c r="H14" s="1"/>
      <c r="I14" s="1"/>
    </row>
    <row r="15" spans="2:9" ht="18" customHeight="1">
      <c r="B15" s="1"/>
      <c r="C15" s="1"/>
      <c r="D15" s="1"/>
      <c r="E15" s="1"/>
      <c r="F15" s="1"/>
      <c r="G15" s="1"/>
      <c r="H15" s="1"/>
      <c r="I15" s="1"/>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1" t="s">
        <v>53</v>
      </c>
      <c r="D21" s="73" t="s">
        <v>621</v>
      </c>
      <c r="E21" s="69"/>
      <c r="F21" s="1"/>
      <c r="G21" s="34" t="s">
        <v>162</v>
      </c>
      <c r="H21" s="1"/>
      <c r="I21" s="1"/>
    </row>
    <row r="22" spans="2:9" ht="18" customHeight="1">
      <c r="B22" s="1"/>
      <c r="C22" s="1" t="s">
        <v>63</v>
      </c>
      <c r="D22" s="73" t="s">
        <v>622</v>
      </c>
      <c r="E22" s="69"/>
      <c r="F22" s="1"/>
      <c r="G22" s="34" t="s">
        <v>602</v>
      </c>
      <c r="H22" s="1"/>
      <c r="I22" s="1"/>
    </row>
    <row r="23" spans="2:9" ht="18" customHeight="1">
      <c r="B23" s="1"/>
      <c r="C23" s="1" t="s">
        <v>67</v>
      </c>
      <c r="D23" s="73" t="s">
        <v>623</v>
      </c>
      <c r="E23" s="69"/>
      <c r="F23" s="1"/>
      <c r="G23" s="34" t="s">
        <v>624</v>
      </c>
      <c r="H23" s="1"/>
      <c r="I23" s="1"/>
    </row>
    <row r="24" spans="2:9" ht="15.75" customHeight="1">
      <c r="B24" s="64" t="s">
        <v>150</v>
      </c>
      <c r="C24" s="49"/>
      <c r="D24" s="49"/>
      <c r="E24" s="49"/>
      <c r="F24" s="49"/>
      <c r="G24" s="49"/>
      <c r="H24" s="49"/>
      <c r="I24" s="43"/>
    </row>
    <row r="25" spans="2:9" ht="18" customHeight="1">
      <c r="B25" s="1"/>
      <c r="C25" s="5" t="s">
        <v>71</v>
      </c>
      <c r="D25" s="67" t="s">
        <v>625</v>
      </c>
      <c r="E25" s="69"/>
      <c r="F25" s="1"/>
      <c r="G25" s="34" t="s">
        <v>165</v>
      </c>
      <c r="H25" s="1"/>
      <c r="I25" s="1"/>
    </row>
    <row r="26" spans="2:9" ht="18" customHeight="1">
      <c r="B26" s="1"/>
      <c r="C26" s="5" t="s">
        <v>67</v>
      </c>
      <c r="D26" s="67" t="s">
        <v>626</v>
      </c>
      <c r="E26" s="69"/>
      <c r="F26" s="1"/>
      <c r="G26" s="34" t="s">
        <v>627</v>
      </c>
      <c r="H26" s="1"/>
      <c r="I26" s="1"/>
    </row>
    <row r="27" spans="2:9" ht="18" customHeight="1">
      <c r="B27" s="1"/>
      <c r="C27" s="1"/>
      <c r="D27" s="1"/>
      <c r="E27" s="1"/>
      <c r="F27" s="1"/>
      <c r="G27" s="1"/>
      <c r="H27" s="1"/>
      <c r="I27" s="1"/>
    </row>
    <row r="28" spans="2:9" ht="15.75" customHeight="1">
      <c r="B28" s="64" t="s">
        <v>160</v>
      </c>
      <c r="C28" s="49"/>
      <c r="D28" s="49"/>
      <c r="E28" s="49"/>
      <c r="F28" s="49"/>
      <c r="G28" s="49"/>
      <c r="H28" s="49"/>
      <c r="I28" s="43"/>
    </row>
    <row r="29" spans="2:9" ht="18" customHeight="1">
      <c r="B29" s="1"/>
      <c r="C29" s="36" t="s">
        <v>53</v>
      </c>
      <c r="D29" s="67" t="s">
        <v>628</v>
      </c>
      <c r="E29" s="69"/>
      <c r="F29" s="1"/>
      <c r="G29" s="34" t="s">
        <v>162</v>
      </c>
      <c r="H29" s="1"/>
      <c r="I29" s="34" t="s">
        <v>629</v>
      </c>
    </row>
    <row r="30" spans="2:9" ht="18" customHeight="1">
      <c r="B30" s="1"/>
      <c r="C30" s="36" t="s">
        <v>67</v>
      </c>
      <c r="D30" s="67" t="s">
        <v>630</v>
      </c>
      <c r="E30" s="69"/>
      <c r="F30" s="1"/>
      <c r="G30" s="34" t="s">
        <v>627</v>
      </c>
      <c r="H30" s="1"/>
      <c r="I30" s="34" t="s">
        <v>629</v>
      </c>
    </row>
    <row r="31" spans="2:9" ht="18" customHeight="1">
      <c r="B31" s="1"/>
      <c r="C31" s="36" t="s">
        <v>63</v>
      </c>
      <c r="D31" s="67" t="s">
        <v>631</v>
      </c>
      <c r="E31" s="69"/>
      <c r="F31" s="1"/>
      <c r="G31" s="34" t="s">
        <v>632</v>
      </c>
      <c r="H31" s="1"/>
      <c r="I31" s="34" t="s">
        <v>629</v>
      </c>
    </row>
    <row r="32" spans="2:9" ht="18" customHeight="1">
      <c r="B32" s="1"/>
      <c r="C32" s="36" t="s">
        <v>58</v>
      </c>
      <c r="D32" s="67" t="s">
        <v>633</v>
      </c>
      <c r="E32" s="69"/>
      <c r="F32" s="1"/>
      <c r="G32" s="34" t="s">
        <v>634</v>
      </c>
      <c r="H32" s="1"/>
      <c r="I32" s="34" t="s">
        <v>629</v>
      </c>
    </row>
    <row r="33" spans="2:9" ht="18" customHeight="1">
      <c r="B33" s="1"/>
      <c r="C33" s="36" t="s">
        <v>71</v>
      </c>
      <c r="D33" s="67" t="s">
        <v>635</v>
      </c>
      <c r="E33" s="69"/>
      <c r="F33" s="1"/>
      <c r="G33" s="34" t="s">
        <v>165</v>
      </c>
      <c r="H33" s="1"/>
      <c r="I33" s="34" t="s">
        <v>636</v>
      </c>
    </row>
    <row r="34" spans="2:9" ht="15.75" customHeight="1">
      <c r="B34" s="64" t="s">
        <v>170</v>
      </c>
      <c r="C34" s="49"/>
      <c r="D34" s="49"/>
      <c r="E34" s="49"/>
      <c r="F34" s="49"/>
      <c r="G34" s="49"/>
      <c r="H34" s="49"/>
      <c r="I34" s="43"/>
    </row>
    <row r="35" spans="2:9" ht="18" customHeight="1">
      <c r="B35" s="1"/>
      <c r="C35" s="1"/>
      <c r="D35" s="1"/>
      <c r="E35" s="1"/>
      <c r="F35" s="1"/>
      <c r="G35" s="1" t="s">
        <v>637</v>
      </c>
      <c r="H35" s="1"/>
      <c r="I35" s="1"/>
    </row>
    <row r="36" spans="2:9" ht="18" customHeight="1">
      <c r="B36" s="1"/>
      <c r="C36" s="1"/>
      <c r="D36" s="1"/>
      <c r="E36" s="1"/>
      <c r="F36" s="1"/>
      <c r="G36" s="1"/>
      <c r="H36" s="1"/>
      <c r="I36" s="1"/>
    </row>
    <row r="37" spans="2:9" ht="18" customHeight="1">
      <c r="B37" s="1"/>
      <c r="C37" s="1"/>
      <c r="D37" s="1"/>
      <c r="E37" s="1"/>
      <c r="F37" s="1"/>
      <c r="G37" s="1"/>
      <c r="H37" s="1"/>
      <c r="I37" s="1"/>
    </row>
    <row r="38" spans="2:9" ht="14.25" customHeight="1"/>
    <row r="39" spans="2:9" ht="21.75" customHeight="1">
      <c r="B39" s="47" t="s">
        <v>290</v>
      </c>
      <c r="C39" s="49"/>
      <c r="D39" s="49"/>
      <c r="E39" s="49"/>
      <c r="F39" s="49"/>
      <c r="G39" s="49"/>
      <c r="H39" s="49"/>
      <c r="I39" s="43"/>
    </row>
    <row r="40" spans="2:9" ht="13.5" customHeight="1">
      <c r="B40" s="56" t="s">
        <v>172</v>
      </c>
      <c r="C40" s="57"/>
      <c r="D40" s="57"/>
      <c r="E40" s="57"/>
      <c r="F40" s="57"/>
      <c r="G40" s="57"/>
      <c r="H40" s="57"/>
      <c r="I40" s="57"/>
    </row>
    <row r="41" spans="2:9" ht="19.5" customHeight="1">
      <c r="B41" s="20" t="s">
        <v>173</v>
      </c>
      <c r="C41" s="20" t="s">
        <v>174</v>
      </c>
      <c r="D41" s="20" t="s">
        <v>175</v>
      </c>
      <c r="E41" s="65" t="s">
        <v>176</v>
      </c>
      <c r="F41" s="49"/>
      <c r="G41" s="49"/>
      <c r="H41" s="49"/>
      <c r="I41" s="43"/>
    </row>
    <row r="42" spans="2:9" ht="21.75" customHeight="1">
      <c r="B42" s="66" t="s">
        <v>638</v>
      </c>
      <c r="C42" s="49"/>
      <c r="D42" s="43"/>
      <c r="E42" s="67" t="s">
        <v>639</v>
      </c>
      <c r="F42" s="68"/>
      <c r="G42" s="68"/>
      <c r="H42" s="68"/>
      <c r="I42" s="69"/>
    </row>
    <row r="43" spans="2:9" ht="21.75" customHeight="1">
      <c r="B43" s="54" t="s">
        <v>179</v>
      </c>
      <c r="C43" s="49"/>
      <c r="D43" s="43"/>
      <c r="E43" s="67" t="s">
        <v>640</v>
      </c>
      <c r="F43" s="68"/>
      <c r="G43" s="68"/>
      <c r="H43" s="68"/>
      <c r="I43" s="69"/>
    </row>
    <row r="44" spans="2:9" ht="21.75" customHeight="1">
      <c r="B44" s="54" t="s">
        <v>181</v>
      </c>
      <c r="C44" s="49"/>
      <c r="D44" s="43"/>
      <c r="E44" s="67" t="s">
        <v>641</v>
      </c>
      <c r="F44" s="68"/>
      <c r="G44" s="68"/>
      <c r="H44" s="68"/>
      <c r="I44" s="69"/>
    </row>
    <row r="45" spans="2:9" ht="21.75" customHeight="1">
      <c r="B45" s="54" t="s">
        <v>183</v>
      </c>
      <c r="C45" s="49"/>
      <c r="D45" s="43"/>
      <c r="E45" s="67" t="s">
        <v>642</v>
      </c>
      <c r="F45" s="68"/>
      <c r="G45" s="68"/>
      <c r="H45" s="68"/>
      <c r="I45" s="69"/>
    </row>
    <row r="46" spans="2:9" ht="21.75" customHeight="1">
      <c r="B46" s="66" t="s">
        <v>559</v>
      </c>
      <c r="C46" s="49"/>
      <c r="D46" s="43"/>
      <c r="E46" s="67" t="s">
        <v>643</v>
      </c>
      <c r="F46" s="68"/>
      <c r="G46" s="68"/>
      <c r="H46" s="68"/>
      <c r="I46" s="69"/>
    </row>
    <row r="47" spans="2:9" ht="21.75" customHeight="1">
      <c r="B47" s="54" t="s">
        <v>179</v>
      </c>
      <c r="C47" s="49"/>
      <c r="D47" s="43"/>
      <c r="E47" s="67" t="s">
        <v>644</v>
      </c>
      <c r="F47" s="68"/>
      <c r="G47" s="68"/>
      <c r="H47" s="68"/>
      <c r="I47" s="69"/>
    </row>
    <row r="48" spans="2:9" ht="21.75" customHeight="1">
      <c r="B48" s="54" t="s">
        <v>181</v>
      </c>
      <c r="C48" s="49"/>
      <c r="D48" s="43"/>
      <c r="E48" s="67" t="s">
        <v>645</v>
      </c>
      <c r="F48" s="68"/>
      <c r="G48" s="68"/>
      <c r="H48" s="68"/>
      <c r="I48" s="69"/>
    </row>
    <row r="49" spans="2:9" ht="21.75" customHeight="1">
      <c r="B49" s="54" t="s">
        <v>183</v>
      </c>
      <c r="C49" s="49"/>
      <c r="D49" s="43"/>
      <c r="E49" s="67" t="s">
        <v>646</v>
      </c>
      <c r="F49" s="68"/>
      <c r="G49" s="68"/>
      <c r="H49" s="68"/>
      <c r="I49" s="69"/>
    </row>
    <row r="50" spans="2:9" ht="21.75" customHeight="1">
      <c r="B50" s="66" t="s">
        <v>647</v>
      </c>
      <c r="C50" s="49"/>
      <c r="D50" s="43"/>
      <c r="E50" s="67" t="s">
        <v>648</v>
      </c>
      <c r="F50" s="68"/>
      <c r="G50" s="68"/>
      <c r="H50" s="68"/>
      <c r="I50" s="69"/>
    </row>
    <row r="51" spans="2:9" ht="21.75" customHeight="1">
      <c r="B51" s="54" t="s">
        <v>179</v>
      </c>
      <c r="C51" s="49"/>
      <c r="D51" s="43"/>
      <c r="E51" s="67" t="s">
        <v>649</v>
      </c>
      <c r="F51" s="68"/>
      <c r="G51" s="68"/>
      <c r="H51" s="68"/>
      <c r="I51" s="69"/>
    </row>
    <row r="52" spans="2:9" ht="21.75" customHeight="1">
      <c r="B52" s="54" t="s">
        <v>181</v>
      </c>
      <c r="C52" s="49"/>
      <c r="D52" s="43"/>
      <c r="E52" s="67" t="s">
        <v>650</v>
      </c>
      <c r="F52" s="68"/>
      <c r="G52" s="68"/>
      <c r="H52" s="68"/>
      <c r="I52" s="69"/>
    </row>
    <row r="53" spans="2:9" ht="21.75" customHeight="1">
      <c r="B53" s="54" t="s">
        <v>183</v>
      </c>
      <c r="C53" s="49"/>
      <c r="D53" s="43"/>
      <c r="E53" s="67" t="s">
        <v>651</v>
      </c>
      <c r="F53" s="68"/>
      <c r="G53" s="68"/>
      <c r="H53" s="68"/>
      <c r="I53" s="69"/>
    </row>
    <row r="54" spans="2:9" ht="21.75" customHeight="1">
      <c r="B54" s="66" t="s">
        <v>652</v>
      </c>
      <c r="C54" s="49"/>
      <c r="D54" s="43"/>
      <c r="E54" s="67" t="s">
        <v>653</v>
      </c>
      <c r="F54" s="68"/>
      <c r="G54" s="68"/>
      <c r="H54" s="68"/>
      <c r="I54" s="69"/>
    </row>
    <row r="55" spans="2:9" ht="21.75" customHeight="1">
      <c r="B55" s="54" t="s">
        <v>179</v>
      </c>
      <c r="C55" s="49"/>
      <c r="D55" s="43"/>
      <c r="E55" s="67" t="s">
        <v>654</v>
      </c>
      <c r="F55" s="68"/>
      <c r="G55" s="68"/>
      <c r="H55" s="68"/>
      <c r="I55" s="69"/>
    </row>
    <row r="56" spans="2:9" ht="21.75" customHeight="1">
      <c r="B56" s="54" t="s">
        <v>181</v>
      </c>
      <c r="C56" s="49"/>
      <c r="D56" s="43"/>
      <c r="E56" s="67" t="s">
        <v>655</v>
      </c>
      <c r="F56" s="68"/>
      <c r="G56" s="68"/>
      <c r="H56" s="68"/>
      <c r="I56" s="69"/>
    </row>
    <row r="57" spans="2:9" ht="21.75" customHeight="1">
      <c r="B57" s="54" t="s">
        <v>183</v>
      </c>
      <c r="C57" s="49"/>
      <c r="D57" s="43"/>
      <c r="E57" s="67" t="s">
        <v>656</v>
      </c>
      <c r="F57" s="68"/>
      <c r="G57" s="68"/>
      <c r="H57" s="68"/>
      <c r="I57" s="69"/>
    </row>
    <row r="58" spans="2:9" ht="14.25" customHeight="1">
      <c r="E58" s="50"/>
      <c r="F58" s="49"/>
      <c r="G58" s="49"/>
      <c r="H58" s="49"/>
      <c r="I58" s="43"/>
    </row>
    <row r="59" spans="2:9" ht="21.75" customHeight="1">
      <c r="B59" s="55" t="s">
        <v>199</v>
      </c>
      <c r="C59" s="49"/>
      <c r="D59" s="49"/>
      <c r="E59" s="49"/>
      <c r="F59" s="49"/>
      <c r="G59" s="49"/>
      <c r="H59" s="49"/>
      <c r="I59" s="43"/>
    </row>
    <row r="60" spans="2:9" ht="13.5" customHeight="1">
      <c r="B60" s="56" t="s">
        <v>200</v>
      </c>
      <c r="C60" s="57"/>
      <c r="D60" s="57"/>
      <c r="E60" s="57"/>
      <c r="F60" s="57"/>
      <c r="G60" s="57"/>
      <c r="H60" s="57"/>
      <c r="I60" s="57"/>
    </row>
    <row r="61" spans="2:9" ht="18" customHeight="1">
      <c r="B61" s="58" t="s">
        <v>201</v>
      </c>
      <c r="C61" s="49"/>
      <c r="D61" s="49"/>
      <c r="E61" s="49"/>
      <c r="F61" s="49"/>
      <c r="G61" s="49"/>
      <c r="H61" s="49"/>
      <c r="I61" s="43"/>
    </row>
    <row r="62" spans="2:9" ht="18" customHeight="1">
      <c r="B62" s="53" t="s">
        <v>202</v>
      </c>
      <c r="C62" s="49"/>
      <c r="D62" s="43"/>
      <c r="E62" s="70" t="s">
        <v>657</v>
      </c>
      <c r="F62" s="71"/>
      <c r="G62" s="71"/>
      <c r="H62" s="71"/>
      <c r="I62" s="72"/>
    </row>
    <row r="63" spans="2:9" ht="18" customHeight="1">
      <c r="B63" s="53" t="s">
        <v>204</v>
      </c>
      <c r="C63" s="49"/>
      <c r="D63" s="43"/>
      <c r="E63" s="70" t="s">
        <v>658</v>
      </c>
      <c r="F63" s="71"/>
      <c r="G63" s="71"/>
      <c r="H63" s="71"/>
      <c r="I63" s="72"/>
    </row>
    <row r="64" spans="2:9" ht="18" customHeight="1">
      <c r="B64" s="53" t="s">
        <v>206</v>
      </c>
      <c r="C64" s="49"/>
      <c r="D64" s="43"/>
      <c r="E64" s="70" t="s">
        <v>659</v>
      </c>
      <c r="F64" s="71"/>
      <c r="G64" s="71"/>
      <c r="H64" s="71"/>
      <c r="I64" s="72"/>
    </row>
    <row r="65" spans="2:9" ht="18" customHeight="1">
      <c r="B65" s="53" t="s">
        <v>208</v>
      </c>
      <c r="C65" s="49"/>
      <c r="D65" s="43"/>
      <c r="E65" s="70" t="s">
        <v>660</v>
      </c>
      <c r="F65" s="71"/>
      <c r="G65" s="71"/>
      <c r="H65" s="71"/>
      <c r="I65" s="72"/>
    </row>
    <row r="66" spans="2:9" ht="18" customHeight="1">
      <c r="B66" s="53" t="s">
        <v>210</v>
      </c>
      <c r="C66" s="49"/>
      <c r="D66" s="43"/>
      <c r="E66" s="70" t="s">
        <v>661</v>
      </c>
      <c r="F66" s="71"/>
      <c r="G66" s="71"/>
      <c r="H66" s="71"/>
      <c r="I66" s="72"/>
    </row>
    <row r="67" spans="2:9" ht="14.25" customHeight="1"/>
    <row r="68" spans="2:9" ht="18" customHeight="1">
      <c r="B68" s="58" t="s">
        <v>212</v>
      </c>
      <c r="C68" s="49"/>
      <c r="D68" s="49"/>
      <c r="E68" s="49"/>
      <c r="F68" s="49"/>
      <c r="G68" s="49"/>
      <c r="H68" s="49"/>
      <c r="I68" s="43"/>
    </row>
    <row r="69" spans="2:9" ht="18" customHeight="1">
      <c r="B69" s="53" t="s">
        <v>202</v>
      </c>
      <c r="C69" s="49"/>
      <c r="D69" s="43"/>
      <c r="E69" s="70" t="s">
        <v>662</v>
      </c>
      <c r="F69" s="71"/>
      <c r="G69" s="71"/>
      <c r="H69" s="71"/>
      <c r="I69" s="72"/>
    </row>
    <row r="70" spans="2:9" ht="18" customHeight="1">
      <c r="B70" s="53" t="s">
        <v>204</v>
      </c>
      <c r="C70" s="49"/>
      <c r="D70" s="43"/>
      <c r="E70" s="70" t="s">
        <v>663</v>
      </c>
      <c r="F70" s="71"/>
      <c r="G70" s="71"/>
      <c r="H70" s="71"/>
      <c r="I70" s="72"/>
    </row>
    <row r="71" spans="2:9" ht="18" customHeight="1">
      <c r="B71" s="53" t="s">
        <v>206</v>
      </c>
      <c r="C71" s="49"/>
      <c r="D71" s="43"/>
      <c r="E71" s="70" t="s">
        <v>664</v>
      </c>
      <c r="F71" s="71"/>
      <c r="G71" s="71"/>
      <c r="H71" s="71"/>
      <c r="I71" s="72"/>
    </row>
    <row r="72" spans="2:9" ht="18" customHeight="1">
      <c r="B72" s="53" t="s">
        <v>208</v>
      </c>
      <c r="C72" s="49"/>
      <c r="D72" s="43"/>
      <c r="E72" s="70" t="s">
        <v>665</v>
      </c>
      <c r="F72" s="71"/>
      <c r="G72" s="71"/>
      <c r="H72" s="71"/>
      <c r="I72" s="72"/>
    </row>
    <row r="73" spans="2:9" ht="18" customHeight="1">
      <c r="B73" s="53" t="s">
        <v>210</v>
      </c>
      <c r="C73" s="49"/>
      <c r="D73" s="43"/>
      <c r="E73" s="70" t="s">
        <v>666</v>
      </c>
      <c r="F73" s="71"/>
      <c r="G73" s="71"/>
      <c r="H73" s="71"/>
      <c r="I73" s="72"/>
    </row>
    <row r="74" spans="2:9" ht="14.25" customHeight="1"/>
    <row r="75" spans="2:9" ht="18" customHeight="1">
      <c r="B75" s="58" t="s">
        <v>218</v>
      </c>
      <c r="C75" s="49"/>
      <c r="D75" s="49"/>
      <c r="E75" s="49"/>
      <c r="F75" s="49"/>
      <c r="G75" s="49"/>
      <c r="H75" s="49"/>
      <c r="I75" s="43"/>
    </row>
    <row r="76" spans="2:9" ht="18" customHeight="1">
      <c r="B76" s="53" t="s">
        <v>202</v>
      </c>
      <c r="C76" s="49"/>
      <c r="D76" s="43"/>
      <c r="E76" s="67" t="s">
        <v>667</v>
      </c>
      <c r="F76" s="68"/>
      <c r="G76" s="68"/>
      <c r="H76" s="68"/>
      <c r="I76" s="69"/>
    </row>
    <row r="77" spans="2:9" ht="18" customHeight="1">
      <c r="B77" s="53" t="s">
        <v>204</v>
      </c>
      <c r="C77" s="49"/>
      <c r="D77" s="43"/>
      <c r="E77" s="67" t="s">
        <v>668</v>
      </c>
      <c r="F77" s="68"/>
      <c r="G77" s="68"/>
      <c r="H77" s="68"/>
      <c r="I77" s="69"/>
    </row>
    <row r="78" spans="2:9" ht="18" customHeight="1">
      <c r="B78" s="53" t="s">
        <v>206</v>
      </c>
      <c r="C78" s="49"/>
      <c r="D78" s="43"/>
      <c r="E78" s="67" t="s">
        <v>669</v>
      </c>
      <c r="F78" s="68"/>
      <c r="G78" s="68"/>
      <c r="H78" s="68"/>
      <c r="I78" s="69"/>
    </row>
    <row r="79" spans="2:9" ht="18" customHeight="1">
      <c r="B79" s="53" t="s">
        <v>208</v>
      </c>
      <c r="C79" s="49"/>
      <c r="D79" s="43"/>
      <c r="E79" s="67" t="s">
        <v>670</v>
      </c>
      <c r="F79" s="68"/>
      <c r="G79" s="68"/>
      <c r="H79" s="68"/>
      <c r="I79" s="69"/>
    </row>
    <row r="80" spans="2:9" ht="18" customHeight="1">
      <c r="B80" s="53" t="s">
        <v>210</v>
      </c>
      <c r="C80" s="49"/>
      <c r="D80" s="43"/>
      <c r="E80" s="67" t="s">
        <v>671</v>
      </c>
      <c r="F80" s="68"/>
      <c r="G80" s="68"/>
      <c r="H80" s="68"/>
      <c r="I80" s="69"/>
    </row>
    <row r="81" spans="2:9" ht="14.25" customHeight="1"/>
    <row r="82" spans="2:9" ht="18" customHeight="1">
      <c r="B82" s="58" t="s">
        <v>224</v>
      </c>
      <c r="C82" s="49"/>
      <c r="D82" s="49"/>
      <c r="E82" s="49"/>
      <c r="F82" s="49"/>
      <c r="G82" s="49"/>
      <c r="H82" s="49"/>
      <c r="I82" s="43"/>
    </row>
    <row r="83" spans="2:9" ht="18" customHeight="1">
      <c r="B83" s="53" t="s">
        <v>202</v>
      </c>
      <c r="C83" s="49"/>
      <c r="D83" s="43"/>
      <c r="E83" s="67" t="s">
        <v>672</v>
      </c>
      <c r="F83" s="68"/>
      <c r="G83" s="68"/>
      <c r="H83" s="68"/>
      <c r="I83" s="69"/>
    </row>
    <row r="84" spans="2:9" ht="18" customHeight="1">
      <c r="B84" s="53" t="s">
        <v>204</v>
      </c>
      <c r="C84" s="49"/>
      <c r="D84" s="43"/>
      <c r="E84" s="67" t="s">
        <v>673</v>
      </c>
      <c r="F84" s="68"/>
      <c r="G84" s="68"/>
      <c r="H84" s="68"/>
      <c r="I84" s="69"/>
    </row>
    <row r="85" spans="2:9" ht="18" customHeight="1">
      <c r="B85" s="53" t="s">
        <v>206</v>
      </c>
      <c r="C85" s="49"/>
      <c r="D85" s="43"/>
      <c r="E85" s="67" t="s">
        <v>674</v>
      </c>
      <c r="F85" s="68"/>
      <c r="G85" s="68"/>
      <c r="H85" s="68"/>
      <c r="I85" s="69"/>
    </row>
    <row r="86" spans="2:9" ht="18" customHeight="1">
      <c r="B86" s="53" t="s">
        <v>208</v>
      </c>
      <c r="C86" s="49"/>
      <c r="D86" s="43"/>
      <c r="E86" s="67" t="s">
        <v>675</v>
      </c>
      <c r="F86" s="68"/>
      <c r="G86" s="68"/>
      <c r="H86" s="68"/>
      <c r="I86" s="69"/>
    </row>
    <row r="87" spans="2:9" ht="18" customHeight="1">
      <c r="B87" s="53" t="s">
        <v>210</v>
      </c>
      <c r="C87" s="49"/>
      <c r="D87" s="43"/>
      <c r="E87" s="67" t="s">
        <v>676</v>
      </c>
      <c r="F87" s="68"/>
      <c r="G87" s="68"/>
      <c r="H87" s="68"/>
      <c r="I87" s="69"/>
    </row>
    <row r="88" spans="2:9" ht="14.25" customHeight="1"/>
    <row r="89" spans="2:9" ht="18" customHeight="1">
      <c r="B89" s="58" t="s">
        <v>230</v>
      </c>
      <c r="C89" s="49"/>
      <c r="D89" s="49"/>
      <c r="E89" s="49"/>
      <c r="F89" s="49"/>
      <c r="G89" s="49"/>
      <c r="H89" s="49"/>
      <c r="I89" s="43"/>
    </row>
    <row r="90" spans="2:9" ht="18" customHeight="1">
      <c r="B90" s="53" t="s">
        <v>202</v>
      </c>
      <c r="C90" s="49"/>
      <c r="D90" s="43"/>
      <c r="E90" s="67" t="s">
        <v>677</v>
      </c>
      <c r="F90" s="68"/>
      <c r="G90" s="68"/>
      <c r="H90" s="68"/>
      <c r="I90" s="69"/>
    </row>
    <row r="91" spans="2:9" ht="18" customHeight="1">
      <c r="B91" s="53" t="s">
        <v>204</v>
      </c>
      <c r="C91" s="49"/>
      <c r="D91" s="43"/>
      <c r="E91" s="67" t="s">
        <v>678</v>
      </c>
      <c r="F91" s="68"/>
      <c r="G91" s="68"/>
      <c r="H91" s="68"/>
      <c r="I91" s="69"/>
    </row>
    <row r="92" spans="2:9" ht="18" customHeight="1">
      <c r="B92" s="53" t="s">
        <v>206</v>
      </c>
      <c r="C92" s="49"/>
      <c r="D92" s="43"/>
      <c r="E92" s="67" t="s">
        <v>679</v>
      </c>
      <c r="F92" s="68"/>
      <c r="G92" s="68"/>
      <c r="H92" s="68"/>
      <c r="I92" s="69"/>
    </row>
    <row r="93" spans="2:9" ht="18" customHeight="1">
      <c r="B93" s="53" t="s">
        <v>208</v>
      </c>
      <c r="C93" s="49"/>
      <c r="D93" s="43"/>
      <c r="E93" s="67" t="s">
        <v>680</v>
      </c>
      <c r="F93" s="68"/>
      <c r="G93" s="68"/>
      <c r="H93" s="68"/>
      <c r="I93" s="69"/>
    </row>
    <row r="94" spans="2:9" ht="18" customHeight="1">
      <c r="B94" s="53" t="s">
        <v>210</v>
      </c>
      <c r="C94" s="49"/>
      <c r="D94" s="43"/>
      <c r="E94" s="67" t="s">
        <v>681</v>
      </c>
      <c r="F94" s="68"/>
      <c r="G94" s="68"/>
      <c r="H94" s="68"/>
      <c r="I94" s="69"/>
    </row>
    <row r="95" spans="2:9" ht="14.25" customHeight="1"/>
    <row r="96" spans="2:9" ht="15.75" customHeight="1">
      <c r="B96" s="60" t="s">
        <v>682</v>
      </c>
      <c r="C96" s="49"/>
      <c r="D96" s="49"/>
      <c r="E96" s="49"/>
      <c r="F96" s="49"/>
      <c r="G96" s="49"/>
      <c r="H96" s="49"/>
      <c r="I96" s="43"/>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16">
    <mergeCell ref="B50:D50"/>
    <mergeCell ref="B51:D51"/>
    <mergeCell ref="B52:D52"/>
    <mergeCell ref="B53:D53"/>
    <mergeCell ref="B54:D54"/>
    <mergeCell ref="E49:I49"/>
    <mergeCell ref="E50:I50"/>
    <mergeCell ref="E51:I51"/>
    <mergeCell ref="E52:I52"/>
    <mergeCell ref="E53:I53"/>
    <mergeCell ref="E54:I54"/>
    <mergeCell ref="B45:D45"/>
    <mergeCell ref="B46:D46"/>
    <mergeCell ref="B47:D47"/>
    <mergeCell ref="E45:I45"/>
    <mergeCell ref="E46:I46"/>
    <mergeCell ref="E47:I47"/>
    <mergeCell ref="E48:I48"/>
    <mergeCell ref="B48:D48"/>
    <mergeCell ref="B49:D49"/>
    <mergeCell ref="B39:I39"/>
    <mergeCell ref="B40:I40"/>
    <mergeCell ref="E41:I41"/>
    <mergeCell ref="B42:D42"/>
    <mergeCell ref="B43:D43"/>
    <mergeCell ref="B44:D44"/>
    <mergeCell ref="E42:I42"/>
    <mergeCell ref="E43:I43"/>
    <mergeCell ref="E44:I44"/>
    <mergeCell ref="D30:E30"/>
    <mergeCell ref="D31:E31"/>
    <mergeCell ref="D32:E32"/>
    <mergeCell ref="D33:E33"/>
    <mergeCell ref="D19:F19"/>
    <mergeCell ref="B20:I20"/>
    <mergeCell ref="B24:I24"/>
    <mergeCell ref="B28:I28"/>
    <mergeCell ref="B34:I34"/>
    <mergeCell ref="D21:E21"/>
    <mergeCell ref="D22:E22"/>
    <mergeCell ref="D23:E23"/>
    <mergeCell ref="D25:E25"/>
    <mergeCell ref="B2:I2"/>
    <mergeCell ref="B3:I3"/>
    <mergeCell ref="B5:I5"/>
    <mergeCell ref="B6:I6"/>
    <mergeCell ref="B17:I17"/>
    <mergeCell ref="B18:I18"/>
    <mergeCell ref="G19:H19"/>
    <mergeCell ref="D26:E26"/>
    <mergeCell ref="D29:E29"/>
    <mergeCell ref="B92:D92"/>
    <mergeCell ref="B93:D93"/>
    <mergeCell ref="B94:D94"/>
    <mergeCell ref="B96:I96"/>
    <mergeCell ref="E92:I92"/>
    <mergeCell ref="E93:I93"/>
    <mergeCell ref="E94:I94"/>
    <mergeCell ref="B89:I89"/>
    <mergeCell ref="B90:D90"/>
    <mergeCell ref="B91:D91"/>
    <mergeCell ref="E90:I90"/>
    <mergeCell ref="E91:I91"/>
    <mergeCell ref="B85:D85"/>
    <mergeCell ref="B86:D86"/>
    <mergeCell ref="B87:D87"/>
    <mergeCell ref="B82:I82"/>
    <mergeCell ref="B83:D83"/>
    <mergeCell ref="B84:D84"/>
    <mergeCell ref="E80:I80"/>
    <mergeCell ref="E83:I83"/>
    <mergeCell ref="E84:I84"/>
    <mergeCell ref="E85:I85"/>
    <mergeCell ref="E86:I86"/>
    <mergeCell ref="E87:I87"/>
    <mergeCell ref="B72:D72"/>
    <mergeCell ref="B73:D73"/>
    <mergeCell ref="B75:I75"/>
    <mergeCell ref="E71:I71"/>
    <mergeCell ref="E72:I72"/>
    <mergeCell ref="E73:I73"/>
    <mergeCell ref="B79:D79"/>
    <mergeCell ref="B80:D80"/>
    <mergeCell ref="B76:D76"/>
    <mergeCell ref="B77:D77"/>
    <mergeCell ref="B78:D78"/>
    <mergeCell ref="E76:I76"/>
    <mergeCell ref="E77:I77"/>
    <mergeCell ref="E78:I78"/>
    <mergeCell ref="E79:I79"/>
    <mergeCell ref="E62:I62"/>
    <mergeCell ref="B66:D66"/>
    <mergeCell ref="B68:I68"/>
    <mergeCell ref="B69:D69"/>
    <mergeCell ref="B70:D70"/>
    <mergeCell ref="E66:I66"/>
    <mergeCell ref="E69:I69"/>
    <mergeCell ref="E70:I70"/>
    <mergeCell ref="B71:D71"/>
    <mergeCell ref="B62:D62"/>
    <mergeCell ref="B63:D63"/>
    <mergeCell ref="B64:D64"/>
    <mergeCell ref="B65:D65"/>
    <mergeCell ref="E63:I63"/>
    <mergeCell ref="E64:I64"/>
    <mergeCell ref="E65:I65"/>
    <mergeCell ref="B55:D55"/>
    <mergeCell ref="B56:D56"/>
    <mergeCell ref="B57:D57"/>
    <mergeCell ref="E58:I58"/>
    <mergeCell ref="B59:I59"/>
    <mergeCell ref="B60:I60"/>
    <mergeCell ref="B61:I61"/>
    <mergeCell ref="E55:I55"/>
    <mergeCell ref="E56:I56"/>
    <mergeCell ref="E57:I57"/>
  </mergeCell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0"/>
  <sheetViews>
    <sheetView showGridLines="0" workbookViewId="0"/>
  </sheetViews>
  <sheetFormatPr defaultColWidth="14.42578125" defaultRowHeight="15" customHeight="1"/>
  <cols>
    <col min="1" max="1" width="3" customWidth="1"/>
    <col min="2" max="2" width="12" customWidth="1"/>
    <col min="3" max="3" width="6" customWidth="1"/>
    <col min="4" max="4" width="67.85546875" customWidth="1"/>
    <col min="5" max="5" width="80.28515625" customWidth="1"/>
    <col min="6" max="6" width="34.42578125" customWidth="1"/>
    <col min="7" max="7" width="40.5703125" customWidth="1"/>
    <col min="8" max="8" width="85.28515625" customWidth="1"/>
    <col min="9" max="9" width="53.5703125" customWidth="1"/>
    <col min="10" max="26" width="8.5703125" customWidth="1"/>
  </cols>
  <sheetData>
    <row r="1" spans="2:9" ht="13.5" customHeight="1"/>
    <row r="2" spans="2:9" ht="33.75" customHeight="1">
      <c r="B2" s="61" t="s">
        <v>683</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18" customHeight="1">
      <c r="B8" s="37">
        <v>46196</v>
      </c>
      <c r="C8" s="38" t="s">
        <v>58</v>
      </c>
      <c r="D8" s="38" t="s">
        <v>596</v>
      </c>
      <c r="E8" s="38" t="s">
        <v>684</v>
      </c>
      <c r="F8" s="38" t="s">
        <v>685</v>
      </c>
      <c r="G8" s="38" t="s">
        <v>103</v>
      </c>
      <c r="H8" s="38" t="s">
        <v>686</v>
      </c>
      <c r="I8" s="38" t="s">
        <v>687</v>
      </c>
    </row>
    <row r="9" spans="2:9" ht="18" customHeight="1">
      <c r="B9" s="37">
        <v>46196</v>
      </c>
      <c r="C9" s="38" t="s">
        <v>63</v>
      </c>
      <c r="D9" s="38" t="s">
        <v>110</v>
      </c>
      <c r="E9" s="38" t="s">
        <v>688</v>
      </c>
      <c r="F9" s="38" t="s">
        <v>689</v>
      </c>
      <c r="G9" s="38" t="s">
        <v>98</v>
      </c>
      <c r="H9" s="38" t="s">
        <v>690</v>
      </c>
      <c r="I9" s="38" t="s">
        <v>691</v>
      </c>
    </row>
    <row r="10" spans="2:9" ht="18" customHeight="1">
      <c r="B10" s="37">
        <v>46197</v>
      </c>
      <c r="C10" s="38" t="s">
        <v>71</v>
      </c>
      <c r="D10" s="38" t="s">
        <v>110</v>
      </c>
      <c r="E10" s="38" t="s">
        <v>692</v>
      </c>
      <c r="F10" s="38" t="s">
        <v>693</v>
      </c>
      <c r="G10" s="38" t="s">
        <v>98</v>
      </c>
      <c r="H10" s="38" t="s">
        <v>694</v>
      </c>
      <c r="I10" s="38" t="s">
        <v>695</v>
      </c>
    </row>
    <row r="11" spans="2:9" ht="18" customHeight="1">
      <c r="B11" s="37">
        <v>46197</v>
      </c>
      <c r="C11" s="38" t="s">
        <v>67</v>
      </c>
      <c r="D11" s="38" t="s">
        <v>596</v>
      </c>
      <c r="E11" s="38" t="s">
        <v>696</v>
      </c>
      <c r="F11" s="38" t="s">
        <v>693</v>
      </c>
      <c r="G11" s="38" t="s">
        <v>98</v>
      </c>
      <c r="H11" s="38" t="s">
        <v>697</v>
      </c>
      <c r="I11" s="38" t="s">
        <v>698</v>
      </c>
    </row>
    <row r="12" spans="2:9" ht="18" customHeight="1">
      <c r="B12" s="37">
        <v>46198</v>
      </c>
      <c r="C12" s="38" t="s">
        <v>58</v>
      </c>
      <c r="D12" s="38" t="s">
        <v>605</v>
      </c>
      <c r="E12" s="38" t="s">
        <v>699</v>
      </c>
      <c r="F12" s="38" t="s">
        <v>274</v>
      </c>
      <c r="G12" s="38" t="s">
        <v>98</v>
      </c>
      <c r="H12" s="38" t="s">
        <v>700</v>
      </c>
      <c r="I12" s="38" t="s">
        <v>701</v>
      </c>
    </row>
    <row r="13" spans="2:9" ht="18" customHeight="1">
      <c r="B13" s="37">
        <v>46199</v>
      </c>
      <c r="C13" s="38" t="s">
        <v>53</v>
      </c>
      <c r="D13" s="38" t="s">
        <v>596</v>
      </c>
      <c r="E13" s="38" t="s">
        <v>702</v>
      </c>
      <c r="F13" s="38" t="s">
        <v>703</v>
      </c>
      <c r="G13" s="38" t="s">
        <v>103</v>
      </c>
      <c r="H13" s="38" t="s">
        <v>704</v>
      </c>
      <c r="I13" s="38" t="s">
        <v>705</v>
      </c>
    </row>
    <row r="14" spans="2:9" ht="18" customHeight="1">
      <c r="B14" s="37">
        <v>46200</v>
      </c>
      <c r="C14" s="38" t="s">
        <v>53</v>
      </c>
      <c r="D14" s="38" t="s">
        <v>605</v>
      </c>
      <c r="E14" s="38" t="s">
        <v>706</v>
      </c>
      <c r="F14" s="38" t="s">
        <v>707</v>
      </c>
      <c r="G14" s="38" t="s">
        <v>117</v>
      </c>
      <c r="H14" s="38" t="s">
        <v>708</v>
      </c>
      <c r="I14" s="38" t="s">
        <v>709</v>
      </c>
    </row>
    <row r="15" spans="2:9" ht="18" customHeight="1">
      <c r="B15" s="37">
        <v>46201</v>
      </c>
      <c r="C15" s="38" t="s">
        <v>71</v>
      </c>
      <c r="D15" s="38" t="s">
        <v>596</v>
      </c>
      <c r="E15" s="38" t="s">
        <v>710</v>
      </c>
      <c r="F15" s="38" t="s">
        <v>274</v>
      </c>
      <c r="G15" s="38" t="s">
        <v>117</v>
      </c>
      <c r="H15" s="38" t="s">
        <v>711</v>
      </c>
      <c r="I15" s="38" t="s">
        <v>712</v>
      </c>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38" t="s">
        <v>58</v>
      </c>
      <c r="D21" s="38" t="s">
        <v>713</v>
      </c>
      <c r="E21" s="1"/>
      <c r="F21" s="1"/>
      <c r="G21" s="38" t="s">
        <v>685</v>
      </c>
      <c r="H21" s="1"/>
      <c r="I21" s="38" t="s">
        <v>714</v>
      </c>
    </row>
    <row r="22" spans="2:9" ht="18" customHeight="1">
      <c r="B22" s="1"/>
      <c r="C22" s="38" t="s">
        <v>53</v>
      </c>
      <c r="D22" s="38" t="s">
        <v>715</v>
      </c>
      <c r="E22" s="1"/>
      <c r="F22" s="1"/>
      <c r="G22" s="38" t="s">
        <v>703</v>
      </c>
      <c r="H22" s="1"/>
      <c r="I22" s="38" t="s">
        <v>716</v>
      </c>
    </row>
    <row r="23" spans="2:9" ht="18" customHeight="1">
      <c r="B23" s="1"/>
      <c r="C23" s="38" t="s">
        <v>58</v>
      </c>
      <c r="D23" s="38" t="s">
        <v>717</v>
      </c>
      <c r="E23" s="1"/>
      <c r="F23" s="1"/>
      <c r="G23" s="38" t="s">
        <v>274</v>
      </c>
      <c r="H23" s="1"/>
      <c r="I23" s="1"/>
    </row>
    <row r="24" spans="2:9" ht="15.75" customHeight="1">
      <c r="B24" s="64" t="s">
        <v>150</v>
      </c>
      <c r="C24" s="49"/>
      <c r="D24" s="49"/>
      <c r="E24" s="49"/>
      <c r="F24" s="49"/>
      <c r="G24" s="49"/>
      <c r="H24" s="49"/>
      <c r="I24" s="43"/>
    </row>
    <row r="25" spans="2:9" ht="18" customHeight="1">
      <c r="B25" s="1"/>
      <c r="C25" s="38" t="s">
        <v>63</v>
      </c>
      <c r="D25" s="38" t="s">
        <v>718</v>
      </c>
      <c r="E25" s="1"/>
      <c r="F25" s="1"/>
      <c r="G25" s="38" t="s">
        <v>689</v>
      </c>
      <c r="H25" s="1"/>
      <c r="I25" s="38" t="s">
        <v>719</v>
      </c>
    </row>
    <row r="26" spans="2:9" ht="18" customHeight="1">
      <c r="B26" s="1"/>
      <c r="C26" s="38" t="s">
        <v>67</v>
      </c>
      <c r="D26" s="38" t="s">
        <v>720</v>
      </c>
      <c r="E26" s="1"/>
      <c r="F26" s="1"/>
      <c r="G26" s="38" t="s">
        <v>693</v>
      </c>
      <c r="H26" s="1"/>
      <c r="I26" s="1"/>
    </row>
    <row r="27" spans="2:9" ht="18" customHeight="1">
      <c r="B27" s="1"/>
      <c r="C27" s="38" t="s">
        <v>71</v>
      </c>
      <c r="D27" s="38" t="s">
        <v>721</v>
      </c>
      <c r="E27" s="1"/>
      <c r="F27" s="1"/>
      <c r="G27" s="38" t="s">
        <v>693</v>
      </c>
      <c r="H27" s="1"/>
      <c r="I27" s="1"/>
    </row>
    <row r="28" spans="2:9" ht="15.75" customHeight="1">
      <c r="B28" s="64" t="s">
        <v>160</v>
      </c>
      <c r="C28" s="49"/>
      <c r="D28" s="49"/>
      <c r="E28" s="49"/>
      <c r="F28" s="49"/>
      <c r="G28" s="49"/>
      <c r="H28" s="49"/>
      <c r="I28" s="43"/>
    </row>
    <row r="29" spans="2:9" ht="18" customHeight="1">
      <c r="B29" s="1"/>
      <c r="C29" s="38" t="s">
        <v>63</v>
      </c>
      <c r="D29" s="38" t="s">
        <v>722</v>
      </c>
      <c r="E29" s="1"/>
      <c r="F29" s="1"/>
      <c r="G29" s="38" t="s">
        <v>689</v>
      </c>
      <c r="H29" s="1"/>
      <c r="I29" s="38" t="s">
        <v>629</v>
      </c>
    </row>
    <row r="30" spans="2:9" ht="18" customHeight="1">
      <c r="B30" s="1"/>
      <c r="C30" s="38" t="s">
        <v>71</v>
      </c>
      <c r="D30" s="38" t="s">
        <v>723</v>
      </c>
      <c r="E30" s="1"/>
      <c r="F30" s="1"/>
      <c r="G30" s="38" t="s">
        <v>693</v>
      </c>
      <c r="H30" s="1"/>
      <c r="I30" s="38" t="s">
        <v>629</v>
      </c>
    </row>
    <row r="31" spans="2:9" ht="18" customHeight="1">
      <c r="B31" s="1"/>
      <c r="C31" s="38" t="s">
        <v>53</v>
      </c>
      <c r="D31" s="38" t="s">
        <v>724</v>
      </c>
      <c r="E31" s="1"/>
      <c r="F31" s="1"/>
      <c r="G31" s="38" t="s">
        <v>693</v>
      </c>
      <c r="H31" s="1"/>
      <c r="I31" s="38" t="s">
        <v>629</v>
      </c>
    </row>
    <row r="32" spans="2:9" ht="15.75" customHeight="1">
      <c r="B32" s="64" t="s">
        <v>170</v>
      </c>
      <c r="C32" s="49"/>
      <c r="D32" s="49"/>
      <c r="E32" s="49"/>
      <c r="F32" s="49"/>
      <c r="G32" s="49"/>
      <c r="H32" s="49"/>
      <c r="I32" s="43"/>
    </row>
    <row r="33" spans="2:9" ht="18" customHeight="1">
      <c r="B33" s="1"/>
      <c r="C33" s="38" t="s">
        <v>63</v>
      </c>
      <c r="D33" s="38" t="s">
        <v>725</v>
      </c>
      <c r="E33" s="1"/>
      <c r="F33" s="1"/>
      <c r="G33" s="38" t="s">
        <v>158</v>
      </c>
      <c r="H33" s="1"/>
      <c r="I33" s="38" t="s">
        <v>726</v>
      </c>
    </row>
    <row r="34" spans="2:9" ht="18" customHeight="1">
      <c r="B34" s="1"/>
      <c r="C34" s="1"/>
      <c r="D34" s="1"/>
      <c r="E34" s="1"/>
      <c r="F34" s="1"/>
      <c r="G34" s="1"/>
      <c r="H34" s="1"/>
      <c r="I34" s="1"/>
    </row>
    <row r="35" spans="2:9" ht="18" customHeight="1">
      <c r="B35" s="1"/>
      <c r="C35" s="1"/>
      <c r="D35" s="1"/>
      <c r="E35" s="1"/>
      <c r="F35" s="1"/>
      <c r="G35" s="1"/>
      <c r="H35" s="1"/>
      <c r="I35" s="1"/>
    </row>
    <row r="36" spans="2:9" ht="14.25" customHeight="1"/>
    <row r="37" spans="2:9" ht="21.75" customHeight="1">
      <c r="B37" s="47" t="s">
        <v>290</v>
      </c>
      <c r="C37" s="49"/>
      <c r="D37" s="49"/>
      <c r="E37" s="49"/>
      <c r="F37" s="49"/>
      <c r="G37" s="49"/>
      <c r="H37" s="49"/>
      <c r="I37" s="43"/>
    </row>
    <row r="38" spans="2:9" ht="13.5" customHeight="1">
      <c r="B38" s="56" t="s">
        <v>172</v>
      </c>
      <c r="C38" s="57"/>
      <c r="D38" s="57"/>
      <c r="E38" s="57"/>
      <c r="F38" s="57"/>
      <c r="G38" s="57"/>
      <c r="H38" s="57"/>
      <c r="I38" s="57"/>
    </row>
    <row r="39" spans="2:9" ht="19.5" customHeight="1">
      <c r="B39" s="20" t="s">
        <v>173</v>
      </c>
      <c r="C39" s="20" t="s">
        <v>174</v>
      </c>
      <c r="D39" s="20" t="s">
        <v>175</v>
      </c>
      <c r="E39" s="65" t="s">
        <v>176</v>
      </c>
      <c r="F39" s="49"/>
      <c r="G39" s="49"/>
      <c r="H39" s="49"/>
      <c r="I39" s="43"/>
    </row>
    <row r="40" spans="2:9" ht="21.75" customHeight="1">
      <c r="B40" s="66" t="s">
        <v>638</v>
      </c>
      <c r="C40" s="49"/>
      <c r="D40" s="43"/>
      <c r="E40" s="74" t="s">
        <v>727</v>
      </c>
      <c r="F40" s="49"/>
      <c r="G40" s="49"/>
      <c r="H40" s="49"/>
      <c r="I40" s="43"/>
    </row>
    <row r="41" spans="2:9" ht="21.75" customHeight="1">
      <c r="B41" s="54" t="s">
        <v>179</v>
      </c>
      <c r="C41" s="49"/>
      <c r="D41" s="43"/>
      <c r="E41" s="74" t="s">
        <v>728</v>
      </c>
      <c r="F41" s="49"/>
      <c r="G41" s="49"/>
      <c r="H41" s="49"/>
      <c r="I41" s="43"/>
    </row>
    <row r="42" spans="2:9" ht="21.75" customHeight="1">
      <c r="B42" s="54" t="s">
        <v>181</v>
      </c>
      <c r="C42" s="49"/>
      <c r="D42" s="43"/>
      <c r="E42" s="74" t="s">
        <v>729</v>
      </c>
      <c r="F42" s="49"/>
      <c r="G42" s="49"/>
      <c r="H42" s="49"/>
      <c r="I42" s="43"/>
    </row>
    <row r="43" spans="2:9" ht="21.75" customHeight="1">
      <c r="B43" s="54" t="s">
        <v>183</v>
      </c>
      <c r="C43" s="49"/>
      <c r="D43" s="43"/>
      <c r="E43" s="74" t="s">
        <v>730</v>
      </c>
      <c r="F43" s="49"/>
      <c r="G43" s="49"/>
      <c r="H43" s="49"/>
      <c r="I43" s="43"/>
    </row>
    <row r="44" spans="2:9" ht="21.75" customHeight="1">
      <c r="B44" s="66" t="s">
        <v>469</v>
      </c>
      <c r="C44" s="49"/>
      <c r="D44" s="43"/>
      <c r="E44" s="74" t="s">
        <v>731</v>
      </c>
      <c r="F44" s="49"/>
      <c r="G44" s="49"/>
      <c r="H44" s="49"/>
      <c r="I44" s="43"/>
    </row>
    <row r="45" spans="2:9" ht="21.75" customHeight="1">
      <c r="B45" s="54" t="s">
        <v>179</v>
      </c>
      <c r="C45" s="49"/>
      <c r="D45" s="43"/>
      <c r="E45" s="74" t="s">
        <v>732</v>
      </c>
      <c r="F45" s="49"/>
      <c r="G45" s="49"/>
      <c r="H45" s="49"/>
      <c r="I45" s="43"/>
    </row>
    <row r="46" spans="2:9" ht="21.75" customHeight="1">
      <c r="B46" s="54" t="s">
        <v>181</v>
      </c>
      <c r="C46" s="49"/>
      <c r="D46" s="43"/>
      <c r="E46" s="74" t="s">
        <v>733</v>
      </c>
      <c r="F46" s="49"/>
      <c r="G46" s="49"/>
      <c r="H46" s="49"/>
      <c r="I46" s="43"/>
    </row>
    <row r="47" spans="2:9" ht="21.75" customHeight="1">
      <c r="B47" s="54" t="s">
        <v>183</v>
      </c>
      <c r="C47" s="49"/>
      <c r="D47" s="43"/>
      <c r="E47" s="74" t="s">
        <v>734</v>
      </c>
      <c r="F47" s="49"/>
      <c r="G47" s="49"/>
      <c r="H47" s="49"/>
      <c r="I47" s="43"/>
    </row>
    <row r="48" spans="2:9" ht="21.75" customHeight="1">
      <c r="B48" s="66" t="s">
        <v>189</v>
      </c>
      <c r="C48" s="49"/>
      <c r="D48" s="43"/>
      <c r="E48" s="74" t="s">
        <v>735</v>
      </c>
      <c r="F48" s="49"/>
      <c r="G48" s="49"/>
      <c r="H48" s="49"/>
      <c r="I48" s="43"/>
    </row>
    <row r="49" spans="2:9" ht="21.75" customHeight="1">
      <c r="B49" s="54" t="s">
        <v>179</v>
      </c>
      <c r="C49" s="49"/>
      <c r="D49" s="43"/>
      <c r="E49" s="74" t="s">
        <v>736</v>
      </c>
      <c r="F49" s="49"/>
      <c r="G49" s="49"/>
      <c r="H49" s="49"/>
      <c r="I49" s="43"/>
    </row>
    <row r="50" spans="2:9" ht="21.75" customHeight="1">
      <c r="B50" s="54" t="s">
        <v>181</v>
      </c>
      <c r="C50" s="49"/>
      <c r="D50" s="43"/>
      <c r="E50" s="74" t="s">
        <v>737</v>
      </c>
      <c r="F50" s="49"/>
      <c r="G50" s="49"/>
      <c r="H50" s="49"/>
      <c r="I50" s="43"/>
    </row>
    <row r="51" spans="2:9" ht="21.75" customHeight="1">
      <c r="B51" s="54" t="s">
        <v>183</v>
      </c>
      <c r="C51" s="49"/>
      <c r="D51" s="43"/>
      <c r="E51" s="74" t="s">
        <v>738</v>
      </c>
      <c r="F51" s="49"/>
      <c r="G51" s="49"/>
      <c r="H51" s="49"/>
      <c r="I51" s="43"/>
    </row>
    <row r="52" spans="2:9" ht="21.75" customHeight="1">
      <c r="B52" s="66" t="s">
        <v>739</v>
      </c>
      <c r="C52" s="49"/>
      <c r="D52" s="43"/>
      <c r="E52" s="74" t="s">
        <v>740</v>
      </c>
      <c r="F52" s="49"/>
      <c r="G52" s="49"/>
      <c r="H52" s="49"/>
      <c r="I52" s="43"/>
    </row>
    <row r="53" spans="2:9" ht="21.75" customHeight="1">
      <c r="B53" s="54" t="s">
        <v>179</v>
      </c>
      <c r="C53" s="49"/>
      <c r="D53" s="43"/>
      <c r="E53" s="74" t="s">
        <v>741</v>
      </c>
      <c r="F53" s="49"/>
      <c r="G53" s="49"/>
      <c r="H53" s="49"/>
      <c r="I53" s="43"/>
    </row>
    <row r="54" spans="2:9" ht="21.75" customHeight="1">
      <c r="B54" s="54" t="s">
        <v>181</v>
      </c>
      <c r="C54" s="49"/>
      <c r="D54" s="43"/>
      <c r="E54" s="74" t="s">
        <v>742</v>
      </c>
      <c r="F54" s="49"/>
      <c r="G54" s="49"/>
      <c r="H54" s="49"/>
      <c r="I54" s="43"/>
    </row>
    <row r="55" spans="2:9" ht="21.75" customHeight="1">
      <c r="B55" s="54" t="s">
        <v>183</v>
      </c>
      <c r="C55" s="49"/>
      <c r="D55" s="43"/>
      <c r="E55" s="74" t="s">
        <v>743</v>
      </c>
      <c r="F55" s="49"/>
      <c r="G55" s="49"/>
      <c r="H55" s="49"/>
      <c r="I55" s="43"/>
    </row>
    <row r="56" spans="2:9" ht="14.25" customHeight="1">
      <c r="E56" s="50"/>
      <c r="F56" s="49"/>
      <c r="G56" s="49"/>
      <c r="H56" s="49"/>
      <c r="I56" s="43"/>
    </row>
    <row r="57" spans="2:9" ht="21.75" customHeight="1">
      <c r="B57" s="55" t="s">
        <v>199</v>
      </c>
      <c r="C57" s="49"/>
      <c r="D57" s="49"/>
      <c r="E57" s="49"/>
      <c r="F57" s="49"/>
      <c r="G57" s="49"/>
      <c r="H57" s="49"/>
      <c r="I57" s="43"/>
    </row>
    <row r="58" spans="2:9" ht="13.5" customHeight="1">
      <c r="B58" s="56" t="s">
        <v>200</v>
      </c>
      <c r="C58" s="57"/>
      <c r="D58" s="57"/>
      <c r="E58" s="57"/>
      <c r="F58" s="57"/>
      <c r="G58" s="57"/>
      <c r="H58" s="57"/>
      <c r="I58" s="57"/>
    </row>
    <row r="59" spans="2:9" ht="18" customHeight="1">
      <c r="B59" s="58" t="s">
        <v>201</v>
      </c>
      <c r="C59" s="49"/>
      <c r="D59" s="49"/>
      <c r="E59" s="49"/>
      <c r="F59" s="49"/>
      <c r="G59" s="49"/>
      <c r="H59" s="49"/>
      <c r="I59" s="43"/>
    </row>
    <row r="60" spans="2:9" ht="18" customHeight="1">
      <c r="B60" s="53" t="s">
        <v>202</v>
      </c>
      <c r="C60" s="49"/>
      <c r="D60" s="43"/>
      <c r="E60" s="75" t="s">
        <v>744</v>
      </c>
      <c r="F60" s="57"/>
      <c r="G60" s="57"/>
      <c r="H60" s="57"/>
      <c r="I60" s="57"/>
    </row>
    <row r="61" spans="2:9" ht="18" customHeight="1">
      <c r="B61" s="53" t="s">
        <v>204</v>
      </c>
      <c r="C61" s="49"/>
      <c r="D61" s="43"/>
      <c r="E61" s="75" t="s">
        <v>745</v>
      </c>
      <c r="F61" s="57"/>
      <c r="G61" s="57"/>
      <c r="H61" s="57"/>
      <c r="I61" s="57"/>
    </row>
    <row r="62" spans="2:9" ht="18" customHeight="1">
      <c r="B62" s="53" t="s">
        <v>206</v>
      </c>
      <c r="C62" s="49"/>
      <c r="D62" s="43"/>
      <c r="E62" s="75" t="s">
        <v>746</v>
      </c>
      <c r="F62" s="57"/>
      <c r="G62" s="57"/>
      <c r="H62" s="57"/>
      <c r="I62" s="57"/>
    </row>
    <row r="63" spans="2:9" ht="18" customHeight="1">
      <c r="B63" s="53" t="s">
        <v>208</v>
      </c>
      <c r="C63" s="49"/>
      <c r="D63" s="43"/>
      <c r="E63" s="75" t="s">
        <v>747</v>
      </c>
      <c r="F63" s="57"/>
      <c r="G63" s="57"/>
      <c r="H63" s="57"/>
      <c r="I63" s="57"/>
    </row>
    <row r="64" spans="2:9" ht="18" customHeight="1">
      <c r="B64" s="53" t="s">
        <v>210</v>
      </c>
      <c r="C64" s="49"/>
      <c r="D64" s="43"/>
      <c r="E64" s="75" t="s">
        <v>748</v>
      </c>
      <c r="F64" s="57"/>
      <c r="G64" s="57"/>
      <c r="H64" s="57"/>
      <c r="I64" s="57"/>
    </row>
    <row r="65" spans="2:9" ht="14.25" customHeight="1"/>
    <row r="66" spans="2:9" ht="18" customHeight="1">
      <c r="B66" s="58" t="s">
        <v>212</v>
      </c>
      <c r="C66" s="49"/>
      <c r="D66" s="49"/>
      <c r="E66" s="49"/>
      <c r="F66" s="49"/>
      <c r="G66" s="49"/>
      <c r="H66" s="49"/>
      <c r="I66" s="43"/>
    </row>
    <row r="67" spans="2:9" ht="18" customHeight="1">
      <c r="B67" s="53" t="s">
        <v>202</v>
      </c>
      <c r="C67" s="49"/>
      <c r="D67" s="43"/>
      <c r="E67" s="75" t="s">
        <v>749</v>
      </c>
      <c r="F67" s="57"/>
      <c r="G67" s="57"/>
      <c r="H67" s="57"/>
      <c r="I67" s="57"/>
    </row>
    <row r="68" spans="2:9" ht="18" customHeight="1">
      <c r="B68" s="53" t="s">
        <v>204</v>
      </c>
      <c r="C68" s="49"/>
      <c r="D68" s="43"/>
      <c r="E68" s="75" t="s">
        <v>750</v>
      </c>
      <c r="F68" s="57"/>
      <c r="G68" s="57"/>
      <c r="H68" s="57"/>
      <c r="I68" s="57"/>
    </row>
    <row r="69" spans="2:9" ht="18" customHeight="1">
      <c r="B69" s="53" t="s">
        <v>206</v>
      </c>
      <c r="C69" s="49"/>
      <c r="D69" s="43"/>
      <c r="E69" s="75" t="s">
        <v>751</v>
      </c>
      <c r="F69" s="57"/>
      <c r="G69" s="57"/>
      <c r="H69" s="57"/>
      <c r="I69" s="57"/>
    </row>
    <row r="70" spans="2:9" ht="18" customHeight="1">
      <c r="B70" s="53" t="s">
        <v>208</v>
      </c>
      <c r="C70" s="49"/>
      <c r="D70" s="43"/>
      <c r="E70" s="75" t="s">
        <v>752</v>
      </c>
      <c r="F70" s="57"/>
      <c r="G70" s="57"/>
      <c r="H70" s="57"/>
      <c r="I70" s="57"/>
    </row>
    <row r="71" spans="2:9" ht="18" customHeight="1">
      <c r="B71" s="53" t="s">
        <v>210</v>
      </c>
      <c r="C71" s="49"/>
      <c r="D71" s="43"/>
      <c r="E71" s="75" t="s">
        <v>753</v>
      </c>
      <c r="F71" s="57"/>
      <c r="G71" s="57"/>
      <c r="H71" s="57"/>
      <c r="I71" s="57"/>
    </row>
    <row r="72" spans="2:9" ht="14.25" customHeight="1"/>
    <row r="73" spans="2:9" ht="18" customHeight="1">
      <c r="B73" s="58" t="s">
        <v>218</v>
      </c>
      <c r="C73" s="49"/>
      <c r="D73" s="49"/>
      <c r="E73" s="49"/>
      <c r="F73" s="49"/>
      <c r="G73" s="49"/>
      <c r="H73" s="49"/>
      <c r="I73" s="43"/>
    </row>
    <row r="74" spans="2:9" ht="18" customHeight="1">
      <c r="B74" s="53" t="s">
        <v>202</v>
      </c>
      <c r="C74" s="49"/>
      <c r="D74" s="43"/>
      <c r="E74" s="76" t="s">
        <v>754</v>
      </c>
      <c r="F74" s="49"/>
      <c r="G74" s="49"/>
      <c r="H74" s="49"/>
      <c r="I74" s="43"/>
    </row>
    <row r="75" spans="2:9" ht="18" customHeight="1">
      <c r="B75" s="53" t="s">
        <v>204</v>
      </c>
      <c r="C75" s="49"/>
      <c r="D75" s="43"/>
      <c r="E75" s="76" t="s">
        <v>755</v>
      </c>
      <c r="F75" s="49"/>
      <c r="G75" s="49"/>
      <c r="H75" s="49"/>
      <c r="I75" s="43"/>
    </row>
    <row r="76" spans="2:9" ht="18" customHeight="1">
      <c r="B76" s="53" t="s">
        <v>206</v>
      </c>
      <c r="C76" s="49"/>
      <c r="D76" s="43"/>
      <c r="E76" s="76" t="s">
        <v>756</v>
      </c>
      <c r="F76" s="49"/>
      <c r="G76" s="49"/>
      <c r="H76" s="49"/>
      <c r="I76" s="43"/>
    </row>
    <row r="77" spans="2:9" ht="18" customHeight="1">
      <c r="B77" s="53" t="s">
        <v>208</v>
      </c>
      <c r="C77" s="49"/>
      <c r="D77" s="43"/>
      <c r="E77" s="76" t="s">
        <v>757</v>
      </c>
      <c r="F77" s="49"/>
      <c r="G77" s="49"/>
      <c r="H77" s="49"/>
      <c r="I77" s="43"/>
    </row>
    <row r="78" spans="2:9" ht="18" customHeight="1">
      <c r="B78" s="53" t="s">
        <v>210</v>
      </c>
      <c r="C78" s="49"/>
      <c r="D78" s="43"/>
      <c r="E78" s="76" t="s">
        <v>758</v>
      </c>
      <c r="F78" s="49"/>
      <c r="G78" s="49"/>
      <c r="H78" s="49"/>
      <c r="I78" s="43"/>
    </row>
    <row r="79" spans="2:9" ht="14.25" customHeight="1"/>
    <row r="80" spans="2:9" ht="18" customHeight="1">
      <c r="B80" s="58" t="s">
        <v>224</v>
      </c>
      <c r="C80" s="49"/>
      <c r="D80" s="49"/>
      <c r="E80" s="49"/>
      <c r="F80" s="49"/>
      <c r="G80" s="49"/>
      <c r="H80" s="49"/>
      <c r="I80" s="43"/>
    </row>
    <row r="81" spans="2:9" ht="18" customHeight="1">
      <c r="B81" s="53" t="s">
        <v>202</v>
      </c>
      <c r="C81" s="49"/>
      <c r="D81" s="43"/>
      <c r="E81" s="76" t="s">
        <v>759</v>
      </c>
      <c r="F81" s="49"/>
      <c r="G81" s="49"/>
      <c r="H81" s="49"/>
      <c r="I81" s="43"/>
    </row>
    <row r="82" spans="2:9" ht="18" customHeight="1">
      <c r="B82" s="53" t="s">
        <v>204</v>
      </c>
      <c r="C82" s="49"/>
      <c r="D82" s="43"/>
      <c r="E82" s="76" t="s">
        <v>760</v>
      </c>
      <c r="F82" s="49"/>
      <c r="G82" s="49"/>
      <c r="H82" s="49"/>
      <c r="I82" s="43"/>
    </row>
    <row r="83" spans="2:9" ht="18" customHeight="1">
      <c r="B83" s="53" t="s">
        <v>206</v>
      </c>
      <c r="C83" s="49"/>
      <c r="D83" s="43"/>
      <c r="E83" s="76" t="s">
        <v>761</v>
      </c>
      <c r="F83" s="49"/>
      <c r="G83" s="49"/>
      <c r="H83" s="49"/>
      <c r="I83" s="43"/>
    </row>
    <row r="84" spans="2:9" ht="18" customHeight="1">
      <c r="B84" s="53" t="s">
        <v>208</v>
      </c>
      <c r="C84" s="49"/>
      <c r="D84" s="43"/>
      <c r="E84" s="76" t="s">
        <v>762</v>
      </c>
      <c r="F84" s="49"/>
      <c r="G84" s="49"/>
      <c r="H84" s="49"/>
      <c r="I84" s="43"/>
    </row>
    <row r="85" spans="2:9" ht="18" customHeight="1">
      <c r="B85" s="53" t="s">
        <v>210</v>
      </c>
      <c r="C85" s="49"/>
      <c r="D85" s="43"/>
      <c r="E85" s="76" t="s">
        <v>763</v>
      </c>
      <c r="F85" s="49"/>
      <c r="G85" s="49"/>
      <c r="H85" s="49"/>
      <c r="I85" s="43"/>
    </row>
    <row r="86" spans="2:9" ht="14.25" customHeight="1"/>
    <row r="87" spans="2:9" ht="18" customHeight="1">
      <c r="B87" s="58" t="s">
        <v>230</v>
      </c>
      <c r="C87" s="49"/>
      <c r="D87" s="49"/>
      <c r="E87" s="49"/>
      <c r="F87" s="49"/>
      <c r="G87" s="49"/>
      <c r="H87" s="49"/>
      <c r="I87" s="43"/>
    </row>
    <row r="88" spans="2:9" ht="18" customHeight="1">
      <c r="B88" s="53" t="s">
        <v>202</v>
      </c>
      <c r="C88" s="49"/>
      <c r="D88" s="43"/>
      <c r="E88" s="76" t="s">
        <v>764</v>
      </c>
      <c r="F88" s="49"/>
      <c r="G88" s="49"/>
      <c r="H88" s="49"/>
      <c r="I88" s="43"/>
    </row>
    <row r="89" spans="2:9" ht="18" customHeight="1">
      <c r="B89" s="53" t="s">
        <v>204</v>
      </c>
      <c r="C89" s="49"/>
      <c r="D89" s="43"/>
      <c r="E89" s="76" t="s">
        <v>765</v>
      </c>
      <c r="F89" s="49"/>
      <c r="G89" s="49"/>
      <c r="H89" s="49"/>
      <c r="I89" s="43"/>
    </row>
    <row r="90" spans="2:9" ht="18" customHeight="1">
      <c r="B90" s="53" t="s">
        <v>206</v>
      </c>
      <c r="C90" s="49"/>
      <c r="D90" s="43"/>
      <c r="E90" s="76" t="s">
        <v>766</v>
      </c>
      <c r="F90" s="49"/>
      <c r="G90" s="49"/>
      <c r="H90" s="49"/>
      <c r="I90" s="43"/>
    </row>
    <row r="91" spans="2:9" ht="18" customHeight="1">
      <c r="B91" s="53" t="s">
        <v>208</v>
      </c>
      <c r="C91" s="49"/>
      <c r="D91" s="43"/>
      <c r="E91" s="76" t="s">
        <v>767</v>
      </c>
      <c r="F91" s="49"/>
      <c r="G91" s="49"/>
      <c r="H91" s="49"/>
      <c r="I91" s="43"/>
    </row>
    <row r="92" spans="2:9" ht="18" customHeight="1">
      <c r="B92" s="53" t="s">
        <v>210</v>
      </c>
      <c r="C92" s="49"/>
      <c r="D92" s="43"/>
      <c r="E92" s="76" t="s">
        <v>768</v>
      </c>
      <c r="F92" s="49"/>
      <c r="G92" s="49"/>
      <c r="H92" s="49"/>
      <c r="I92" s="43"/>
    </row>
    <row r="93" spans="2:9" ht="14.25" customHeight="1"/>
    <row r="94" spans="2:9" ht="15.75" customHeight="1">
      <c r="B94" s="60" t="s">
        <v>769</v>
      </c>
      <c r="C94" s="49"/>
      <c r="D94" s="49"/>
      <c r="E94" s="49"/>
      <c r="F94" s="49"/>
      <c r="G94" s="49"/>
      <c r="H94" s="49"/>
      <c r="I94" s="43"/>
    </row>
    <row r="95" spans="2:9" ht="14.25" customHeight="1"/>
    <row r="96" spans="2:9"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6">
    <mergeCell ref="B48:D48"/>
    <mergeCell ref="B49:D49"/>
    <mergeCell ref="B50:D50"/>
    <mergeCell ref="B51:D51"/>
    <mergeCell ref="B52:D52"/>
    <mergeCell ref="E47:I47"/>
    <mergeCell ref="E48:I48"/>
    <mergeCell ref="E49:I49"/>
    <mergeCell ref="E50:I50"/>
    <mergeCell ref="E51:I51"/>
    <mergeCell ref="E52:I52"/>
    <mergeCell ref="B43:D43"/>
    <mergeCell ref="B44:D44"/>
    <mergeCell ref="B45:D45"/>
    <mergeCell ref="E43:I43"/>
    <mergeCell ref="E44:I44"/>
    <mergeCell ref="E45:I45"/>
    <mergeCell ref="E46:I46"/>
    <mergeCell ref="B46:D46"/>
    <mergeCell ref="B47:D47"/>
    <mergeCell ref="B24:I24"/>
    <mergeCell ref="B28:I28"/>
    <mergeCell ref="B32:I32"/>
    <mergeCell ref="B37:I37"/>
    <mergeCell ref="B38:I38"/>
    <mergeCell ref="E39:I39"/>
    <mergeCell ref="B40:D40"/>
    <mergeCell ref="B41:D41"/>
    <mergeCell ref="B42:D42"/>
    <mergeCell ref="E40:I40"/>
    <mergeCell ref="E41:I41"/>
    <mergeCell ref="E42:I42"/>
    <mergeCell ref="B2:I2"/>
    <mergeCell ref="B3:I3"/>
    <mergeCell ref="B5:I5"/>
    <mergeCell ref="B6:I6"/>
    <mergeCell ref="B17:I17"/>
    <mergeCell ref="B18:I18"/>
    <mergeCell ref="G19:H19"/>
    <mergeCell ref="D19:F19"/>
    <mergeCell ref="B20:I20"/>
    <mergeCell ref="B90:D90"/>
    <mergeCell ref="B91:D91"/>
    <mergeCell ref="B92:D92"/>
    <mergeCell ref="B94:I94"/>
    <mergeCell ref="E90:I90"/>
    <mergeCell ref="E91:I91"/>
    <mergeCell ref="E92:I92"/>
    <mergeCell ref="B87:I87"/>
    <mergeCell ref="B88:D88"/>
    <mergeCell ref="B89:D89"/>
    <mergeCell ref="E88:I88"/>
    <mergeCell ref="E89:I89"/>
    <mergeCell ref="B83:D83"/>
    <mergeCell ref="B84:D84"/>
    <mergeCell ref="B85:D85"/>
    <mergeCell ref="B80:I80"/>
    <mergeCell ref="B81:D81"/>
    <mergeCell ref="B82:D82"/>
    <mergeCell ref="E78:I78"/>
    <mergeCell ref="E81:I81"/>
    <mergeCell ref="E82:I82"/>
    <mergeCell ref="E83:I83"/>
    <mergeCell ref="E84:I84"/>
    <mergeCell ref="E85:I85"/>
    <mergeCell ref="B70:D70"/>
    <mergeCell ref="B71:D71"/>
    <mergeCell ref="B73:I73"/>
    <mergeCell ref="E69:I69"/>
    <mergeCell ref="E70:I70"/>
    <mergeCell ref="E71:I71"/>
    <mergeCell ref="B77:D77"/>
    <mergeCell ref="B78:D78"/>
    <mergeCell ref="B74:D74"/>
    <mergeCell ref="B75:D75"/>
    <mergeCell ref="B76:D76"/>
    <mergeCell ref="E74:I74"/>
    <mergeCell ref="E75:I75"/>
    <mergeCell ref="E76:I76"/>
    <mergeCell ref="E77:I77"/>
    <mergeCell ref="E60:I60"/>
    <mergeCell ref="B64:D64"/>
    <mergeCell ref="B66:I66"/>
    <mergeCell ref="B67:D67"/>
    <mergeCell ref="B68:D68"/>
    <mergeCell ref="E64:I64"/>
    <mergeCell ref="E67:I67"/>
    <mergeCell ref="E68:I68"/>
    <mergeCell ref="B69:D69"/>
    <mergeCell ref="B60:D60"/>
    <mergeCell ref="B61:D61"/>
    <mergeCell ref="B62:D62"/>
    <mergeCell ref="B63:D63"/>
    <mergeCell ref="E61:I61"/>
    <mergeCell ref="E62:I62"/>
    <mergeCell ref="E63:I63"/>
    <mergeCell ref="B53:D53"/>
    <mergeCell ref="B54:D54"/>
    <mergeCell ref="B55:D55"/>
    <mergeCell ref="E56:I56"/>
    <mergeCell ref="B57:I57"/>
    <mergeCell ref="B58:I58"/>
    <mergeCell ref="B59:I59"/>
    <mergeCell ref="E53:I53"/>
    <mergeCell ref="E54:I54"/>
    <mergeCell ref="E55:I55"/>
  </mergeCells>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0"/>
  <sheetViews>
    <sheetView showGridLines="0" workbookViewId="0"/>
  </sheetViews>
  <sheetFormatPr defaultColWidth="14.42578125" defaultRowHeight="15" customHeight="1"/>
  <cols>
    <col min="1" max="1" width="3" customWidth="1"/>
    <col min="2" max="2" width="12" customWidth="1"/>
    <col min="3" max="3" width="6" customWidth="1"/>
    <col min="4" max="4" width="64.85546875" customWidth="1"/>
    <col min="5" max="5" width="65.140625" customWidth="1"/>
    <col min="6" max="6" width="20" customWidth="1"/>
    <col min="7" max="7" width="21.5703125" customWidth="1"/>
    <col min="8" max="8" width="60.28515625" customWidth="1"/>
    <col min="9" max="9" width="49.85546875" customWidth="1"/>
    <col min="10" max="26" width="8.5703125" customWidth="1"/>
  </cols>
  <sheetData>
    <row r="1" spans="2:9" ht="13.5" customHeight="1"/>
    <row r="2" spans="2:9" ht="33.75" customHeight="1">
      <c r="B2" s="61" t="s">
        <v>770</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27.75" customHeight="1">
      <c r="B8" s="37">
        <v>46217</v>
      </c>
      <c r="C8" s="38" t="s">
        <v>53</v>
      </c>
      <c r="D8" s="38" t="s">
        <v>596</v>
      </c>
      <c r="E8" s="38" t="s">
        <v>771</v>
      </c>
      <c r="F8" s="38" t="s">
        <v>772</v>
      </c>
      <c r="G8" s="38" t="s">
        <v>98</v>
      </c>
      <c r="H8" s="38" t="s">
        <v>773</v>
      </c>
      <c r="I8" s="38" t="s">
        <v>774</v>
      </c>
    </row>
    <row r="9" spans="2:9" ht="27.75" customHeight="1">
      <c r="B9" s="37">
        <v>46217</v>
      </c>
      <c r="C9" s="38" t="s">
        <v>53</v>
      </c>
      <c r="D9" s="38" t="s">
        <v>110</v>
      </c>
      <c r="E9" s="38" t="s">
        <v>775</v>
      </c>
      <c r="F9" s="38" t="s">
        <v>776</v>
      </c>
      <c r="G9" s="38" t="s">
        <v>103</v>
      </c>
      <c r="H9" s="38" t="s">
        <v>777</v>
      </c>
      <c r="I9" s="38" t="s">
        <v>778</v>
      </c>
    </row>
    <row r="10" spans="2:9" ht="18" customHeight="1">
      <c r="B10" s="37">
        <v>46218</v>
      </c>
      <c r="C10" s="38" t="s">
        <v>58</v>
      </c>
      <c r="D10" s="38" t="s">
        <v>110</v>
      </c>
      <c r="E10" s="38" t="s">
        <v>779</v>
      </c>
      <c r="F10" s="38" t="s">
        <v>632</v>
      </c>
      <c r="G10" s="38" t="s">
        <v>98</v>
      </c>
      <c r="H10" s="38" t="s">
        <v>780</v>
      </c>
      <c r="I10" s="38" t="s">
        <v>781</v>
      </c>
    </row>
    <row r="11" spans="2:9" ht="18" customHeight="1">
      <c r="B11" s="37">
        <v>46219</v>
      </c>
      <c r="C11" s="38" t="s">
        <v>63</v>
      </c>
      <c r="D11" s="38" t="s">
        <v>596</v>
      </c>
      <c r="E11" s="38" t="s">
        <v>782</v>
      </c>
      <c r="F11" s="38" t="s">
        <v>783</v>
      </c>
      <c r="G11" s="38" t="s">
        <v>98</v>
      </c>
      <c r="H11" s="38" t="s">
        <v>784</v>
      </c>
      <c r="I11" s="38" t="s">
        <v>785</v>
      </c>
    </row>
    <row r="12" spans="2:9" ht="18" customHeight="1">
      <c r="B12" s="37">
        <v>46219</v>
      </c>
      <c r="C12" s="38" t="s">
        <v>63</v>
      </c>
      <c r="D12" s="38" t="s">
        <v>605</v>
      </c>
      <c r="E12" s="38" t="s">
        <v>786</v>
      </c>
      <c r="F12" s="38" t="s">
        <v>787</v>
      </c>
      <c r="G12" s="38" t="s">
        <v>103</v>
      </c>
      <c r="H12" s="38" t="s">
        <v>788</v>
      </c>
      <c r="I12" s="38" t="s">
        <v>789</v>
      </c>
    </row>
    <row r="13" spans="2:9" ht="18" customHeight="1">
      <c r="B13" s="37">
        <v>46220</v>
      </c>
      <c r="C13" s="38" t="s">
        <v>71</v>
      </c>
      <c r="D13" s="38" t="s">
        <v>596</v>
      </c>
      <c r="E13" s="38" t="s">
        <v>790</v>
      </c>
      <c r="F13" s="38" t="s">
        <v>632</v>
      </c>
      <c r="G13" s="38" t="s">
        <v>117</v>
      </c>
      <c r="H13" s="38" t="s">
        <v>791</v>
      </c>
      <c r="I13" s="38" t="s">
        <v>792</v>
      </c>
    </row>
    <row r="14" spans="2:9" ht="18" customHeight="1">
      <c r="B14" s="37">
        <v>46221</v>
      </c>
      <c r="C14" s="38" t="s">
        <v>67</v>
      </c>
      <c r="D14" s="38" t="s">
        <v>605</v>
      </c>
      <c r="E14" s="38" t="s">
        <v>793</v>
      </c>
      <c r="F14" s="38" t="s">
        <v>794</v>
      </c>
      <c r="G14" s="38" t="s">
        <v>98</v>
      </c>
      <c r="H14" s="38" t="s">
        <v>795</v>
      </c>
      <c r="I14" s="38" t="s">
        <v>796</v>
      </c>
    </row>
    <row r="15" spans="2:9" ht="18" customHeight="1">
      <c r="B15" s="37">
        <v>46222</v>
      </c>
      <c r="C15" s="38" t="s">
        <v>71</v>
      </c>
      <c r="D15" s="38" t="s">
        <v>596</v>
      </c>
      <c r="E15" s="38" t="s">
        <v>797</v>
      </c>
      <c r="F15" s="38" t="s">
        <v>798</v>
      </c>
      <c r="G15" s="38" t="s">
        <v>98</v>
      </c>
      <c r="H15" s="38" t="s">
        <v>799</v>
      </c>
      <c r="I15" s="38" t="s">
        <v>800</v>
      </c>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38" t="s">
        <v>53</v>
      </c>
      <c r="D21" s="38" t="s">
        <v>801</v>
      </c>
      <c r="E21" s="1"/>
      <c r="F21" s="1"/>
      <c r="G21" s="38" t="s">
        <v>802</v>
      </c>
      <c r="H21" s="1"/>
      <c r="I21" s="38" t="s">
        <v>803</v>
      </c>
    </row>
    <row r="22" spans="2:9" ht="18" customHeight="1">
      <c r="B22" s="1"/>
      <c r="C22" s="38" t="s">
        <v>63</v>
      </c>
      <c r="D22" s="38" t="s">
        <v>804</v>
      </c>
      <c r="E22" s="1"/>
      <c r="F22" s="1"/>
      <c r="G22" s="38" t="s">
        <v>787</v>
      </c>
      <c r="H22" s="1"/>
      <c r="I22" s="39"/>
    </row>
    <row r="23" spans="2:9" ht="18" customHeight="1">
      <c r="B23" s="1"/>
      <c r="C23" s="38" t="s">
        <v>63</v>
      </c>
      <c r="D23" s="38" t="s">
        <v>805</v>
      </c>
      <c r="E23" s="1"/>
      <c r="F23" s="1"/>
      <c r="G23" s="38" t="s">
        <v>783</v>
      </c>
      <c r="H23" s="1"/>
      <c r="I23" s="38" t="s">
        <v>806</v>
      </c>
    </row>
    <row r="24" spans="2:9" ht="15.75" customHeight="1">
      <c r="B24" s="64" t="s">
        <v>150</v>
      </c>
      <c r="C24" s="49"/>
      <c r="D24" s="49"/>
      <c r="E24" s="49"/>
      <c r="F24" s="49"/>
      <c r="G24" s="49"/>
      <c r="H24" s="49"/>
      <c r="I24" s="43"/>
    </row>
    <row r="25" spans="2:9" ht="18" customHeight="1">
      <c r="B25" s="1"/>
      <c r="C25" s="38" t="s">
        <v>58</v>
      </c>
      <c r="D25" s="38" t="s">
        <v>807</v>
      </c>
      <c r="E25" s="1"/>
      <c r="F25" s="1"/>
      <c r="G25" s="38" t="s">
        <v>632</v>
      </c>
      <c r="H25" s="1"/>
      <c r="I25" s="38" t="s">
        <v>808</v>
      </c>
    </row>
    <row r="26" spans="2:9" ht="18" customHeight="1">
      <c r="B26" s="1"/>
      <c r="C26" s="38" t="s">
        <v>71</v>
      </c>
      <c r="D26" s="38" t="s">
        <v>809</v>
      </c>
      <c r="E26" s="1"/>
      <c r="F26" s="1"/>
      <c r="G26" s="38" t="s">
        <v>632</v>
      </c>
      <c r="H26" s="1"/>
      <c r="I26" s="1"/>
    </row>
    <row r="27" spans="2:9" ht="18" customHeight="1">
      <c r="B27" s="1"/>
      <c r="C27" s="38" t="s">
        <v>53</v>
      </c>
      <c r="D27" s="38" t="s">
        <v>810</v>
      </c>
      <c r="E27" s="1"/>
      <c r="F27" s="1"/>
      <c r="G27" s="38" t="s">
        <v>776</v>
      </c>
      <c r="H27" s="1"/>
      <c r="I27" s="1"/>
    </row>
    <row r="28" spans="2:9" ht="15.75" customHeight="1">
      <c r="B28" s="64" t="s">
        <v>160</v>
      </c>
      <c r="C28" s="49"/>
      <c r="D28" s="49"/>
      <c r="E28" s="49"/>
      <c r="F28" s="49"/>
      <c r="G28" s="49"/>
      <c r="H28" s="49"/>
      <c r="I28" s="43"/>
    </row>
    <row r="29" spans="2:9" ht="18" customHeight="1">
      <c r="B29" s="1"/>
      <c r="C29" s="38" t="s">
        <v>53</v>
      </c>
      <c r="D29" s="38" t="s">
        <v>811</v>
      </c>
      <c r="E29" s="1"/>
      <c r="F29" s="1"/>
      <c r="G29" s="38" t="s">
        <v>132</v>
      </c>
      <c r="H29" s="1"/>
      <c r="I29" s="38" t="s">
        <v>629</v>
      </c>
    </row>
    <row r="30" spans="2:9" ht="18" customHeight="1">
      <c r="B30" s="1"/>
      <c r="C30" s="38" t="s">
        <v>63</v>
      </c>
      <c r="D30" s="38" t="s">
        <v>812</v>
      </c>
      <c r="E30" s="1"/>
      <c r="F30" s="1"/>
      <c r="G30" s="38" t="s">
        <v>787</v>
      </c>
      <c r="H30" s="1"/>
      <c r="I30" s="38" t="s">
        <v>629</v>
      </c>
    </row>
    <row r="31" spans="2:9" ht="18" customHeight="1">
      <c r="B31" s="1"/>
      <c r="C31" s="38" t="s">
        <v>71</v>
      </c>
      <c r="D31" s="38" t="s">
        <v>813</v>
      </c>
      <c r="E31" s="1"/>
      <c r="F31" s="1"/>
      <c r="G31" s="38" t="s">
        <v>632</v>
      </c>
      <c r="H31" s="1"/>
      <c r="I31" s="38" t="s">
        <v>629</v>
      </c>
    </row>
    <row r="32" spans="2:9" ht="15.75" customHeight="1">
      <c r="B32" s="64" t="s">
        <v>170</v>
      </c>
      <c r="C32" s="49"/>
      <c r="D32" s="49"/>
      <c r="E32" s="49"/>
      <c r="F32" s="49"/>
      <c r="G32" s="49"/>
      <c r="H32" s="49"/>
      <c r="I32" s="43"/>
    </row>
    <row r="33" spans="2:9" ht="18" customHeight="1">
      <c r="B33" s="1"/>
      <c r="C33" s="38" t="s">
        <v>58</v>
      </c>
      <c r="D33" s="38" t="s">
        <v>814</v>
      </c>
      <c r="E33" s="1"/>
      <c r="F33" s="1"/>
      <c r="G33" s="38" t="s">
        <v>602</v>
      </c>
      <c r="H33" s="1"/>
      <c r="I33" s="38" t="s">
        <v>815</v>
      </c>
    </row>
    <row r="34" spans="2:9" ht="18" customHeight="1">
      <c r="B34" s="1"/>
      <c r="C34" s="39"/>
      <c r="D34" s="39"/>
      <c r="E34" s="1"/>
      <c r="F34" s="1"/>
      <c r="G34" s="1"/>
      <c r="H34" s="1"/>
      <c r="I34" s="1"/>
    </row>
    <row r="35" spans="2:9" ht="18" customHeight="1">
      <c r="B35" s="1"/>
      <c r="C35" s="39"/>
      <c r="D35" s="39"/>
      <c r="E35" s="1"/>
      <c r="F35" s="1"/>
      <c r="G35" s="1"/>
      <c r="H35" s="1"/>
      <c r="I35" s="1"/>
    </row>
    <row r="36" spans="2:9" ht="14.25" customHeight="1"/>
    <row r="37" spans="2:9" ht="21.75" customHeight="1">
      <c r="B37" s="47" t="s">
        <v>290</v>
      </c>
      <c r="C37" s="49"/>
      <c r="D37" s="49"/>
      <c r="E37" s="49"/>
      <c r="F37" s="49"/>
      <c r="G37" s="49"/>
      <c r="H37" s="49"/>
      <c r="I37" s="43"/>
    </row>
    <row r="38" spans="2:9" ht="13.5" customHeight="1">
      <c r="B38" s="56" t="s">
        <v>172</v>
      </c>
      <c r="C38" s="57"/>
      <c r="D38" s="57"/>
      <c r="E38" s="57"/>
      <c r="F38" s="57"/>
      <c r="G38" s="57"/>
      <c r="H38" s="57"/>
      <c r="I38" s="57"/>
    </row>
    <row r="39" spans="2:9" ht="19.5" customHeight="1">
      <c r="B39" s="20" t="s">
        <v>173</v>
      </c>
      <c r="C39" s="20" t="s">
        <v>174</v>
      </c>
      <c r="D39" s="20" t="s">
        <v>175</v>
      </c>
      <c r="E39" s="65" t="s">
        <v>176</v>
      </c>
      <c r="F39" s="49"/>
      <c r="G39" s="49"/>
      <c r="H39" s="49"/>
      <c r="I39" s="43"/>
    </row>
    <row r="40" spans="2:9" ht="21.75" customHeight="1">
      <c r="B40" s="66" t="s">
        <v>638</v>
      </c>
      <c r="C40" s="49"/>
      <c r="D40" s="43"/>
      <c r="E40" s="74" t="s">
        <v>816</v>
      </c>
      <c r="F40" s="49"/>
      <c r="G40" s="49"/>
      <c r="H40" s="49"/>
      <c r="I40" s="43"/>
    </row>
    <row r="41" spans="2:9" ht="21.75" customHeight="1">
      <c r="B41" s="54" t="s">
        <v>179</v>
      </c>
      <c r="C41" s="49"/>
      <c r="D41" s="43"/>
      <c r="E41" s="74" t="s">
        <v>817</v>
      </c>
      <c r="F41" s="49"/>
      <c r="G41" s="49"/>
      <c r="H41" s="49"/>
      <c r="I41" s="43"/>
    </row>
    <row r="42" spans="2:9" ht="21.75" customHeight="1">
      <c r="B42" s="54" t="s">
        <v>181</v>
      </c>
      <c r="C42" s="49"/>
      <c r="D42" s="43"/>
      <c r="E42" s="74" t="s">
        <v>818</v>
      </c>
      <c r="F42" s="49"/>
      <c r="G42" s="49"/>
      <c r="H42" s="49"/>
      <c r="I42" s="43"/>
    </row>
    <row r="43" spans="2:9" ht="21.75" customHeight="1">
      <c r="B43" s="54" t="s">
        <v>183</v>
      </c>
      <c r="C43" s="49"/>
      <c r="D43" s="43"/>
      <c r="E43" s="74" t="s">
        <v>819</v>
      </c>
      <c r="F43" s="49"/>
      <c r="G43" s="49"/>
      <c r="H43" s="49"/>
      <c r="I43" s="43"/>
    </row>
    <row r="44" spans="2:9" ht="21.75" customHeight="1">
      <c r="B44" s="66" t="s">
        <v>820</v>
      </c>
      <c r="C44" s="49"/>
      <c r="D44" s="43"/>
      <c r="E44" s="74" t="s">
        <v>821</v>
      </c>
      <c r="F44" s="49"/>
      <c r="G44" s="49"/>
      <c r="H44" s="49"/>
      <c r="I44" s="43"/>
    </row>
    <row r="45" spans="2:9" ht="21.75" customHeight="1">
      <c r="B45" s="54" t="s">
        <v>179</v>
      </c>
      <c r="C45" s="49"/>
      <c r="D45" s="43"/>
      <c r="E45" s="74" t="s">
        <v>822</v>
      </c>
      <c r="F45" s="49"/>
      <c r="G45" s="49"/>
      <c r="H45" s="49"/>
      <c r="I45" s="43"/>
    </row>
    <row r="46" spans="2:9" ht="21.75" customHeight="1">
      <c r="B46" s="54" t="s">
        <v>181</v>
      </c>
      <c r="C46" s="49"/>
      <c r="D46" s="43"/>
      <c r="E46" s="74" t="s">
        <v>823</v>
      </c>
      <c r="F46" s="49"/>
      <c r="G46" s="49"/>
      <c r="H46" s="49"/>
      <c r="I46" s="43"/>
    </row>
    <row r="47" spans="2:9" ht="21.75" customHeight="1">
      <c r="B47" s="54" t="s">
        <v>183</v>
      </c>
      <c r="C47" s="49"/>
      <c r="D47" s="43"/>
      <c r="E47" s="74" t="s">
        <v>824</v>
      </c>
      <c r="F47" s="49"/>
      <c r="G47" s="49"/>
      <c r="H47" s="49"/>
      <c r="I47" s="43"/>
    </row>
    <row r="48" spans="2:9" ht="21.75" customHeight="1">
      <c r="B48" s="66" t="s">
        <v>825</v>
      </c>
      <c r="C48" s="49"/>
      <c r="D48" s="43"/>
      <c r="E48" s="74" t="s">
        <v>826</v>
      </c>
      <c r="F48" s="49"/>
      <c r="G48" s="49"/>
      <c r="H48" s="49"/>
      <c r="I48" s="43"/>
    </row>
    <row r="49" spans="2:9" ht="21.75" customHeight="1">
      <c r="B49" s="54" t="s">
        <v>179</v>
      </c>
      <c r="C49" s="49"/>
      <c r="D49" s="43"/>
      <c r="E49" s="74" t="s">
        <v>827</v>
      </c>
      <c r="F49" s="49"/>
      <c r="G49" s="49"/>
      <c r="H49" s="49"/>
      <c r="I49" s="43"/>
    </row>
    <row r="50" spans="2:9" ht="21.75" customHeight="1">
      <c r="B50" s="54" t="s">
        <v>181</v>
      </c>
      <c r="C50" s="49"/>
      <c r="D50" s="43"/>
      <c r="E50" s="74" t="s">
        <v>828</v>
      </c>
      <c r="F50" s="49"/>
      <c r="G50" s="49"/>
      <c r="H50" s="49"/>
      <c r="I50" s="43"/>
    </row>
    <row r="51" spans="2:9" ht="21.75" customHeight="1">
      <c r="B51" s="54" t="s">
        <v>183</v>
      </c>
      <c r="C51" s="49"/>
      <c r="D51" s="43"/>
      <c r="E51" s="74" t="s">
        <v>829</v>
      </c>
      <c r="F51" s="49"/>
      <c r="G51" s="49"/>
      <c r="H51" s="49"/>
      <c r="I51" s="43"/>
    </row>
    <row r="52" spans="2:9" ht="21.75" customHeight="1">
      <c r="B52" s="66" t="s">
        <v>478</v>
      </c>
      <c r="C52" s="49"/>
      <c r="D52" s="43"/>
      <c r="E52" s="74" t="s">
        <v>830</v>
      </c>
      <c r="F52" s="49"/>
      <c r="G52" s="49"/>
      <c r="H52" s="49"/>
      <c r="I52" s="43"/>
    </row>
    <row r="53" spans="2:9" ht="21.75" customHeight="1">
      <c r="B53" s="54" t="s">
        <v>179</v>
      </c>
      <c r="C53" s="49"/>
      <c r="D53" s="43"/>
      <c r="E53" s="74" t="s">
        <v>831</v>
      </c>
      <c r="F53" s="49"/>
      <c r="G53" s="49"/>
      <c r="H53" s="49"/>
      <c r="I53" s="43"/>
    </row>
    <row r="54" spans="2:9" ht="21.75" customHeight="1">
      <c r="B54" s="54" t="s">
        <v>181</v>
      </c>
      <c r="C54" s="49"/>
      <c r="D54" s="43"/>
      <c r="E54" s="74" t="s">
        <v>832</v>
      </c>
      <c r="F54" s="49"/>
      <c r="G54" s="49"/>
      <c r="H54" s="49"/>
      <c r="I54" s="43"/>
    </row>
    <row r="55" spans="2:9" ht="21.75" customHeight="1">
      <c r="B55" s="54" t="s">
        <v>183</v>
      </c>
      <c r="C55" s="49"/>
      <c r="D55" s="43"/>
      <c r="E55" s="74" t="s">
        <v>833</v>
      </c>
      <c r="F55" s="49"/>
      <c r="G55" s="49"/>
      <c r="H55" s="49"/>
      <c r="I55" s="43"/>
    </row>
    <row r="56" spans="2:9" ht="14.25" customHeight="1">
      <c r="E56" s="50"/>
      <c r="F56" s="49"/>
      <c r="G56" s="49"/>
      <c r="H56" s="49"/>
      <c r="I56" s="43"/>
    </row>
    <row r="57" spans="2:9" ht="21.75" customHeight="1">
      <c r="B57" s="55" t="s">
        <v>199</v>
      </c>
      <c r="C57" s="49"/>
      <c r="D57" s="49"/>
      <c r="E57" s="49"/>
      <c r="F57" s="49"/>
      <c r="G57" s="49"/>
      <c r="H57" s="49"/>
      <c r="I57" s="43"/>
    </row>
    <row r="58" spans="2:9" ht="13.5" customHeight="1">
      <c r="B58" s="56" t="s">
        <v>200</v>
      </c>
      <c r="C58" s="57"/>
      <c r="D58" s="57"/>
      <c r="E58" s="57"/>
      <c r="F58" s="57"/>
      <c r="G58" s="57"/>
      <c r="H58" s="57"/>
      <c r="I58" s="57"/>
    </row>
    <row r="59" spans="2:9" ht="18" customHeight="1">
      <c r="B59" s="58" t="s">
        <v>201</v>
      </c>
      <c r="C59" s="49"/>
      <c r="D59" s="49"/>
      <c r="E59" s="49"/>
      <c r="F59" s="49"/>
      <c r="G59" s="49"/>
      <c r="H59" s="49"/>
      <c r="I59" s="43"/>
    </row>
    <row r="60" spans="2:9" ht="18" customHeight="1">
      <c r="B60" s="53" t="s">
        <v>202</v>
      </c>
      <c r="C60" s="49"/>
      <c r="D60" s="43"/>
      <c r="E60" s="75" t="s">
        <v>834</v>
      </c>
      <c r="F60" s="57"/>
      <c r="G60" s="57"/>
      <c r="H60" s="57"/>
      <c r="I60" s="57"/>
    </row>
    <row r="61" spans="2:9" ht="18" customHeight="1">
      <c r="B61" s="53" t="s">
        <v>204</v>
      </c>
      <c r="C61" s="49"/>
      <c r="D61" s="43"/>
      <c r="E61" s="75" t="s">
        <v>835</v>
      </c>
      <c r="F61" s="57"/>
      <c r="G61" s="57"/>
      <c r="H61" s="57"/>
      <c r="I61" s="57"/>
    </row>
    <row r="62" spans="2:9" ht="18" customHeight="1">
      <c r="B62" s="53" t="s">
        <v>206</v>
      </c>
      <c r="C62" s="49"/>
      <c r="D62" s="43"/>
      <c r="E62" s="75" t="s">
        <v>836</v>
      </c>
      <c r="F62" s="57"/>
      <c r="G62" s="57"/>
      <c r="H62" s="57"/>
      <c r="I62" s="57"/>
    </row>
    <row r="63" spans="2:9" ht="18" customHeight="1">
      <c r="B63" s="53" t="s">
        <v>208</v>
      </c>
      <c r="C63" s="49"/>
      <c r="D63" s="43"/>
      <c r="E63" s="75" t="s">
        <v>837</v>
      </c>
      <c r="F63" s="57"/>
      <c r="G63" s="57"/>
      <c r="H63" s="57"/>
      <c r="I63" s="57"/>
    </row>
    <row r="64" spans="2:9" ht="18" customHeight="1">
      <c r="B64" s="53" t="s">
        <v>210</v>
      </c>
      <c r="C64" s="49"/>
      <c r="D64" s="43"/>
      <c r="E64" s="75" t="s">
        <v>838</v>
      </c>
      <c r="F64" s="57"/>
      <c r="G64" s="57"/>
      <c r="H64" s="57"/>
      <c r="I64" s="57"/>
    </row>
    <row r="65" spans="2:9" ht="14.25" customHeight="1"/>
    <row r="66" spans="2:9" ht="18" customHeight="1">
      <c r="B66" s="58" t="s">
        <v>212</v>
      </c>
      <c r="C66" s="49"/>
      <c r="D66" s="49"/>
      <c r="E66" s="49"/>
      <c r="F66" s="49"/>
      <c r="G66" s="49"/>
      <c r="H66" s="49"/>
      <c r="I66" s="43"/>
    </row>
    <row r="67" spans="2:9" ht="18" customHeight="1">
      <c r="B67" s="53" t="s">
        <v>202</v>
      </c>
      <c r="C67" s="49"/>
      <c r="D67" s="43"/>
      <c r="E67" s="75" t="s">
        <v>839</v>
      </c>
      <c r="F67" s="57"/>
      <c r="G67" s="57"/>
      <c r="H67" s="57"/>
      <c r="I67" s="57"/>
    </row>
    <row r="68" spans="2:9" ht="18" customHeight="1">
      <c r="B68" s="53" t="s">
        <v>204</v>
      </c>
      <c r="C68" s="49"/>
      <c r="D68" s="43"/>
      <c r="E68" s="75" t="s">
        <v>840</v>
      </c>
      <c r="F68" s="57"/>
      <c r="G68" s="57"/>
      <c r="H68" s="57"/>
      <c r="I68" s="57"/>
    </row>
    <row r="69" spans="2:9" ht="18" customHeight="1">
      <c r="B69" s="53" t="s">
        <v>206</v>
      </c>
      <c r="C69" s="49"/>
      <c r="D69" s="43"/>
      <c r="E69" s="75" t="s">
        <v>841</v>
      </c>
      <c r="F69" s="57"/>
      <c r="G69" s="57"/>
      <c r="H69" s="57"/>
      <c r="I69" s="57"/>
    </row>
    <row r="70" spans="2:9" ht="18" customHeight="1">
      <c r="B70" s="53" t="s">
        <v>208</v>
      </c>
      <c r="C70" s="49"/>
      <c r="D70" s="43"/>
      <c r="E70" s="75" t="s">
        <v>842</v>
      </c>
      <c r="F70" s="57"/>
      <c r="G70" s="57"/>
      <c r="H70" s="57"/>
      <c r="I70" s="57"/>
    </row>
    <row r="71" spans="2:9" ht="18" customHeight="1">
      <c r="B71" s="53" t="s">
        <v>210</v>
      </c>
      <c r="C71" s="49"/>
      <c r="D71" s="43"/>
      <c r="E71" s="75" t="s">
        <v>843</v>
      </c>
      <c r="F71" s="57"/>
      <c r="G71" s="57"/>
      <c r="H71" s="57"/>
      <c r="I71" s="57"/>
    </row>
    <row r="72" spans="2:9" ht="14.25" customHeight="1"/>
    <row r="73" spans="2:9" ht="18" customHeight="1">
      <c r="B73" s="58" t="s">
        <v>218</v>
      </c>
      <c r="C73" s="49"/>
      <c r="D73" s="49"/>
      <c r="E73" s="49"/>
      <c r="F73" s="49"/>
      <c r="G73" s="49"/>
      <c r="H73" s="49"/>
      <c r="I73" s="43"/>
    </row>
    <row r="74" spans="2:9" ht="18" customHeight="1">
      <c r="B74" s="53" t="s">
        <v>202</v>
      </c>
      <c r="C74" s="49"/>
      <c r="D74" s="43"/>
      <c r="E74" s="76" t="s">
        <v>844</v>
      </c>
      <c r="F74" s="49"/>
      <c r="G74" s="49"/>
      <c r="H74" s="49"/>
      <c r="I74" s="43"/>
    </row>
    <row r="75" spans="2:9" ht="18" customHeight="1">
      <c r="B75" s="53" t="s">
        <v>204</v>
      </c>
      <c r="C75" s="49"/>
      <c r="D75" s="43"/>
      <c r="E75" s="76" t="s">
        <v>845</v>
      </c>
      <c r="F75" s="49"/>
      <c r="G75" s="49"/>
      <c r="H75" s="49"/>
      <c r="I75" s="43"/>
    </row>
    <row r="76" spans="2:9" ht="18" customHeight="1">
      <c r="B76" s="53" t="s">
        <v>206</v>
      </c>
      <c r="C76" s="49"/>
      <c r="D76" s="43"/>
      <c r="E76" s="76" t="s">
        <v>846</v>
      </c>
      <c r="F76" s="49"/>
      <c r="G76" s="49"/>
      <c r="H76" s="49"/>
      <c r="I76" s="43"/>
    </row>
    <row r="77" spans="2:9" ht="18" customHeight="1">
      <c r="B77" s="53" t="s">
        <v>208</v>
      </c>
      <c r="C77" s="49"/>
      <c r="D77" s="43"/>
      <c r="E77" s="76" t="s">
        <v>847</v>
      </c>
      <c r="F77" s="49"/>
      <c r="G77" s="49"/>
      <c r="H77" s="49"/>
      <c r="I77" s="43"/>
    </row>
    <row r="78" spans="2:9" ht="18" customHeight="1">
      <c r="B78" s="53" t="s">
        <v>210</v>
      </c>
      <c r="C78" s="49"/>
      <c r="D78" s="43"/>
      <c r="E78" s="76" t="s">
        <v>848</v>
      </c>
      <c r="F78" s="49"/>
      <c r="G78" s="49"/>
      <c r="H78" s="49"/>
      <c r="I78" s="43"/>
    </row>
    <row r="79" spans="2:9" ht="14.25" customHeight="1"/>
    <row r="80" spans="2:9" ht="18" customHeight="1">
      <c r="B80" s="58" t="s">
        <v>224</v>
      </c>
      <c r="C80" s="49"/>
      <c r="D80" s="49"/>
      <c r="E80" s="49"/>
      <c r="F80" s="49"/>
      <c r="G80" s="49"/>
      <c r="H80" s="49"/>
      <c r="I80" s="43"/>
    </row>
    <row r="81" spans="2:9" ht="18" customHeight="1">
      <c r="B81" s="53" t="s">
        <v>202</v>
      </c>
      <c r="C81" s="49"/>
      <c r="D81" s="43"/>
      <c r="E81" s="76" t="s">
        <v>849</v>
      </c>
      <c r="F81" s="49"/>
      <c r="G81" s="49"/>
      <c r="H81" s="49"/>
      <c r="I81" s="43"/>
    </row>
    <row r="82" spans="2:9" ht="18" customHeight="1">
      <c r="B82" s="53" t="s">
        <v>204</v>
      </c>
      <c r="C82" s="49"/>
      <c r="D82" s="43"/>
      <c r="E82" s="76" t="s">
        <v>850</v>
      </c>
      <c r="F82" s="49"/>
      <c r="G82" s="49"/>
      <c r="H82" s="49"/>
      <c r="I82" s="43"/>
    </row>
    <row r="83" spans="2:9" ht="18" customHeight="1">
      <c r="B83" s="53" t="s">
        <v>206</v>
      </c>
      <c r="C83" s="49"/>
      <c r="D83" s="43"/>
      <c r="E83" s="76" t="s">
        <v>851</v>
      </c>
      <c r="F83" s="49"/>
      <c r="G83" s="49"/>
      <c r="H83" s="49"/>
      <c r="I83" s="43"/>
    </row>
    <row r="84" spans="2:9" ht="18" customHeight="1">
      <c r="B84" s="53" t="s">
        <v>208</v>
      </c>
      <c r="C84" s="49"/>
      <c r="D84" s="43"/>
      <c r="E84" s="76" t="s">
        <v>852</v>
      </c>
      <c r="F84" s="49"/>
      <c r="G84" s="49"/>
      <c r="H84" s="49"/>
      <c r="I84" s="43"/>
    </row>
    <row r="85" spans="2:9" ht="18" customHeight="1">
      <c r="B85" s="53" t="s">
        <v>210</v>
      </c>
      <c r="C85" s="49"/>
      <c r="D85" s="43"/>
      <c r="E85" s="76" t="s">
        <v>853</v>
      </c>
      <c r="F85" s="49"/>
      <c r="G85" s="49"/>
      <c r="H85" s="49"/>
      <c r="I85" s="43"/>
    </row>
    <row r="86" spans="2:9" ht="14.25" customHeight="1"/>
    <row r="87" spans="2:9" ht="18" customHeight="1">
      <c r="B87" s="58" t="s">
        <v>230</v>
      </c>
      <c r="C87" s="49"/>
      <c r="D87" s="49"/>
      <c r="E87" s="49"/>
      <c r="F87" s="49"/>
      <c r="G87" s="49"/>
      <c r="H87" s="49"/>
      <c r="I87" s="43"/>
    </row>
    <row r="88" spans="2:9" ht="18" customHeight="1">
      <c r="B88" s="53" t="s">
        <v>202</v>
      </c>
      <c r="C88" s="49"/>
      <c r="D88" s="43"/>
      <c r="E88" s="76" t="s">
        <v>854</v>
      </c>
      <c r="F88" s="49"/>
      <c r="G88" s="49"/>
      <c r="H88" s="49"/>
      <c r="I88" s="43"/>
    </row>
    <row r="89" spans="2:9" ht="18" customHeight="1">
      <c r="B89" s="53" t="s">
        <v>204</v>
      </c>
      <c r="C89" s="49"/>
      <c r="D89" s="43"/>
      <c r="E89" s="76" t="s">
        <v>855</v>
      </c>
      <c r="F89" s="49"/>
      <c r="G89" s="49"/>
      <c r="H89" s="49"/>
      <c r="I89" s="43"/>
    </row>
    <row r="90" spans="2:9" ht="18" customHeight="1">
      <c r="B90" s="53" t="s">
        <v>206</v>
      </c>
      <c r="C90" s="49"/>
      <c r="D90" s="43"/>
      <c r="E90" s="76" t="s">
        <v>856</v>
      </c>
      <c r="F90" s="49"/>
      <c r="G90" s="49"/>
      <c r="H90" s="49"/>
      <c r="I90" s="43"/>
    </row>
    <row r="91" spans="2:9" ht="18" customHeight="1">
      <c r="B91" s="53" t="s">
        <v>208</v>
      </c>
      <c r="C91" s="49"/>
      <c r="D91" s="43"/>
      <c r="E91" s="76" t="s">
        <v>857</v>
      </c>
      <c r="F91" s="49"/>
      <c r="G91" s="49"/>
      <c r="H91" s="49"/>
      <c r="I91" s="43"/>
    </row>
    <row r="92" spans="2:9" ht="18" customHeight="1">
      <c r="B92" s="53" t="s">
        <v>210</v>
      </c>
      <c r="C92" s="49"/>
      <c r="D92" s="43"/>
      <c r="E92" s="76" t="s">
        <v>858</v>
      </c>
      <c r="F92" s="49"/>
      <c r="G92" s="49"/>
      <c r="H92" s="49"/>
      <c r="I92" s="43"/>
    </row>
    <row r="93" spans="2:9" ht="14.25" customHeight="1"/>
    <row r="94" spans="2:9" ht="15.75" customHeight="1">
      <c r="B94" s="60" t="s">
        <v>859</v>
      </c>
      <c r="C94" s="49"/>
      <c r="D94" s="49"/>
      <c r="E94" s="49"/>
      <c r="F94" s="49"/>
      <c r="G94" s="49"/>
      <c r="H94" s="49"/>
      <c r="I94" s="43"/>
    </row>
    <row r="95" spans="2:9" ht="14.25" customHeight="1"/>
    <row r="96" spans="2:9"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6">
    <mergeCell ref="E47:I47"/>
    <mergeCell ref="E48:I48"/>
    <mergeCell ref="E49:I49"/>
    <mergeCell ref="E50:I50"/>
    <mergeCell ref="E51:I51"/>
    <mergeCell ref="E52:I52"/>
    <mergeCell ref="B43:D43"/>
    <mergeCell ref="B44:D44"/>
    <mergeCell ref="B45:D45"/>
    <mergeCell ref="E43:I43"/>
    <mergeCell ref="E44:I44"/>
    <mergeCell ref="E45:I45"/>
    <mergeCell ref="E46:I46"/>
    <mergeCell ref="B46:D46"/>
    <mergeCell ref="B47:D47"/>
    <mergeCell ref="B48:D48"/>
    <mergeCell ref="B49:D49"/>
    <mergeCell ref="B50:D50"/>
    <mergeCell ref="B51:D51"/>
    <mergeCell ref="B52:D52"/>
    <mergeCell ref="B60:D60"/>
    <mergeCell ref="B61:D61"/>
    <mergeCell ref="B24:I24"/>
    <mergeCell ref="B28:I28"/>
    <mergeCell ref="B32:I32"/>
    <mergeCell ref="B37:I37"/>
    <mergeCell ref="B38:I38"/>
    <mergeCell ref="E39:I39"/>
    <mergeCell ref="B40:D40"/>
    <mergeCell ref="B41:D41"/>
    <mergeCell ref="B42:D42"/>
    <mergeCell ref="E40:I40"/>
    <mergeCell ref="E41:I41"/>
    <mergeCell ref="E42:I42"/>
    <mergeCell ref="B2:I2"/>
    <mergeCell ref="B3:I3"/>
    <mergeCell ref="B5:I5"/>
    <mergeCell ref="B6:I6"/>
    <mergeCell ref="B17:I17"/>
    <mergeCell ref="B18:I18"/>
    <mergeCell ref="G19:H19"/>
    <mergeCell ref="D19:F19"/>
    <mergeCell ref="B20:I20"/>
    <mergeCell ref="B90:D90"/>
    <mergeCell ref="B91:D91"/>
    <mergeCell ref="B92:D92"/>
    <mergeCell ref="B94:I94"/>
    <mergeCell ref="E90:I90"/>
    <mergeCell ref="E91:I91"/>
    <mergeCell ref="E92:I92"/>
    <mergeCell ref="B87:I87"/>
    <mergeCell ref="B88:D88"/>
    <mergeCell ref="B89:D89"/>
    <mergeCell ref="E88:I88"/>
    <mergeCell ref="E89:I89"/>
    <mergeCell ref="B83:D83"/>
    <mergeCell ref="B84:D84"/>
    <mergeCell ref="B85:D85"/>
    <mergeCell ref="B80:I80"/>
    <mergeCell ref="B81:D81"/>
    <mergeCell ref="B82:D82"/>
    <mergeCell ref="E78:I78"/>
    <mergeCell ref="E81:I81"/>
    <mergeCell ref="E82:I82"/>
    <mergeCell ref="E83:I83"/>
    <mergeCell ref="E84:I84"/>
    <mergeCell ref="E85:I85"/>
    <mergeCell ref="B70:D70"/>
    <mergeCell ref="B71:D71"/>
    <mergeCell ref="B73:I73"/>
    <mergeCell ref="E69:I69"/>
    <mergeCell ref="E70:I70"/>
    <mergeCell ref="E71:I71"/>
    <mergeCell ref="B77:D77"/>
    <mergeCell ref="B78:D78"/>
    <mergeCell ref="B74:D74"/>
    <mergeCell ref="B75:D75"/>
    <mergeCell ref="B76:D76"/>
    <mergeCell ref="E74:I74"/>
    <mergeCell ref="E75:I75"/>
    <mergeCell ref="E76:I76"/>
    <mergeCell ref="E77:I77"/>
    <mergeCell ref="E60:I60"/>
    <mergeCell ref="B64:D64"/>
    <mergeCell ref="B66:I66"/>
    <mergeCell ref="B67:D67"/>
    <mergeCell ref="B68:D68"/>
    <mergeCell ref="E64:I64"/>
    <mergeCell ref="E67:I67"/>
    <mergeCell ref="E68:I68"/>
    <mergeCell ref="B69:D69"/>
    <mergeCell ref="B62:D62"/>
    <mergeCell ref="B63:D63"/>
    <mergeCell ref="E61:I61"/>
    <mergeCell ref="E62:I62"/>
    <mergeCell ref="E63:I63"/>
    <mergeCell ref="B53:D53"/>
    <mergeCell ref="B54:D54"/>
    <mergeCell ref="B55:D55"/>
    <mergeCell ref="E56:I56"/>
    <mergeCell ref="B57:I57"/>
    <mergeCell ref="B58:I58"/>
    <mergeCell ref="B59:I59"/>
    <mergeCell ref="E53:I53"/>
    <mergeCell ref="E54:I54"/>
    <mergeCell ref="E55:I55"/>
  </mergeCells>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0"/>
  <sheetViews>
    <sheetView showGridLines="0" workbookViewId="0"/>
  </sheetViews>
  <sheetFormatPr defaultColWidth="14.42578125" defaultRowHeight="15" customHeight="1"/>
  <cols>
    <col min="1" max="1" width="3" customWidth="1"/>
    <col min="2" max="2" width="12" customWidth="1"/>
    <col min="3" max="3" width="6" customWidth="1"/>
    <col min="4" max="4" width="61" customWidth="1"/>
    <col min="5" max="5" width="65" customWidth="1"/>
    <col min="6" max="6" width="18.85546875" customWidth="1"/>
    <col min="7" max="7" width="28.5703125" customWidth="1"/>
    <col min="8" max="8" width="48.28515625" customWidth="1"/>
    <col min="9" max="9" width="60.5703125" customWidth="1"/>
    <col min="10" max="26" width="8.5703125" customWidth="1"/>
  </cols>
  <sheetData>
    <row r="1" spans="2:9" ht="13.5" customHeight="1"/>
    <row r="2" spans="2:9" ht="33.75" customHeight="1">
      <c r="B2" s="61" t="s">
        <v>860</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18" customHeight="1">
      <c r="B8" s="37">
        <v>46216</v>
      </c>
      <c r="C8" s="38" t="s">
        <v>58</v>
      </c>
      <c r="D8" s="38" t="s">
        <v>596</v>
      </c>
      <c r="E8" s="38" t="s">
        <v>861</v>
      </c>
      <c r="F8" s="38" t="s">
        <v>862</v>
      </c>
      <c r="G8" s="38" t="s">
        <v>103</v>
      </c>
      <c r="H8" s="38" t="s">
        <v>863</v>
      </c>
      <c r="I8" s="38" t="s">
        <v>864</v>
      </c>
    </row>
    <row r="9" spans="2:9" ht="18" customHeight="1">
      <c r="B9" s="37">
        <v>46217</v>
      </c>
      <c r="C9" s="38" t="s">
        <v>53</v>
      </c>
      <c r="D9" s="38" t="s">
        <v>605</v>
      </c>
      <c r="E9" s="38" t="s">
        <v>865</v>
      </c>
      <c r="F9" s="38" t="s">
        <v>866</v>
      </c>
      <c r="G9" s="38" t="s">
        <v>98</v>
      </c>
      <c r="H9" s="38" t="s">
        <v>867</v>
      </c>
      <c r="I9" s="38" t="s">
        <v>868</v>
      </c>
    </row>
    <row r="10" spans="2:9" ht="18" customHeight="1">
      <c r="B10" s="37">
        <v>46217</v>
      </c>
      <c r="C10" s="38" t="s">
        <v>53</v>
      </c>
      <c r="D10" s="38" t="s">
        <v>110</v>
      </c>
      <c r="E10" s="38" t="s">
        <v>869</v>
      </c>
      <c r="F10" s="38" t="s">
        <v>870</v>
      </c>
      <c r="G10" s="38" t="s">
        <v>103</v>
      </c>
      <c r="H10" s="38" t="s">
        <v>871</v>
      </c>
      <c r="I10" s="38" t="s">
        <v>872</v>
      </c>
    </row>
    <row r="11" spans="2:9" ht="18" customHeight="1">
      <c r="B11" s="37">
        <v>46218</v>
      </c>
      <c r="C11" s="38" t="s">
        <v>63</v>
      </c>
      <c r="D11" s="38" t="s">
        <v>596</v>
      </c>
      <c r="E11" s="38" t="s">
        <v>873</v>
      </c>
      <c r="F11" s="38" t="s">
        <v>632</v>
      </c>
      <c r="G11" s="38" t="s">
        <v>98</v>
      </c>
      <c r="H11" s="38" t="s">
        <v>874</v>
      </c>
      <c r="I11" s="38" t="s">
        <v>875</v>
      </c>
    </row>
    <row r="12" spans="2:9" ht="18" customHeight="1">
      <c r="B12" s="37">
        <v>46219</v>
      </c>
      <c r="C12" s="38" t="s">
        <v>67</v>
      </c>
      <c r="D12" s="38" t="s">
        <v>596</v>
      </c>
      <c r="E12" s="38" t="s">
        <v>876</v>
      </c>
      <c r="F12" s="38" t="s">
        <v>877</v>
      </c>
      <c r="G12" s="38" t="s">
        <v>98</v>
      </c>
      <c r="H12" s="38" t="s">
        <v>878</v>
      </c>
      <c r="I12" s="38" t="s">
        <v>879</v>
      </c>
    </row>
    <row r="13" spans="2:9" ht="18" customHeight="1">
      <c r="B13" s="37">
        <v>46220</v>
      </c>
      <c r="C13" s="38" t="s">
        <v>58</v>
      </c>
      <c r="D13" s="38" t="s">
        <v>605</v>
      </c>
      <c r="E13" s="38" t="s">
        <v>880</v>
      </c>
      <c r="F13" s="38" t="s">
        <v>862</v>
      </c>
      <c r="G13" s="38" t="s">
        <v>98</v>
      </c>
      <c r="H13" s="38" t="s">
        <v>881</v>
      </c>
      <c r="I13" s="38" t="s">
        <v>882</v>
      </c>
    </row>
    <row r="14" spans="2:9" ht="18" customHeight="1">
      <c r="B14" s="37">
        <v>46221</v>
      </c>
      <c r="C14" s="38" t="s">
        <v>71</v>
      </c>
      <c r="D14" s="38" t="s">
        <v>605</v>
      </c>
      <c r="E14" s="38" t="s">
        <v>883</v>
      </c>
      <c r="F14" s="38" t="s">
        <v>884</v>
      </c>
      <c r="G14" s="38" t="s">
        <v>117</v>
      </c>
      <c r="H14" s="38" t="s">
        <v>885</v>
      </c>
      <c r="I14" s="38" t="s">
        <v>886</v>
      </c>
    </row>
    <row r="15" spans="2:9" ht="18" customHeight="1">
      <c r="B15" s="37">
        <v>46222</v>
      </c>
      <c r="C15" s="38" t="s">
        <v>71</v>
      </c>
      <c r="D15" s="38" t="s">
        <v>596</v>
      </c>
      <c r="E15" s="38" t="s">
        <v>887</v>
      </c>
      <c r="F15" s="38" t="s">
        <v>888</v>
      </c>
      <c r="G15" s="38" t="s">
        <v>98</v>
      </c>
      <c r="H15" s="38" t="s">
        <v>889</v>
      </c>
      <c r="I15" s="38" t="s">
        <v>890</v>
      </c>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64" t="s">
        <v>128</v>
      </c>
      <c r="C20" s="49"/>
      <c r="D20" s="49"/>
      <c r="E20" s="49"/>
      <c r="F20" s="49"/>
      <c r="G20" s="49"/>
      <c r="H20" s="49"/>
      <c r="I20" s="43"/>
    </row>
    <row r="21" spans="2:9" ht="18" customHeight="1">
      <c r="B21" s="1"/>
      <c r="C21" s="38" t="s">
        <v>58</v>
      </c>
      <c r="D21" s="38" t="s">
        <v>891</v>
      </c>
      <c r="E21" s="39"/>
      <c r="F21" s="39"/>
      <c r="G21" s="38" t="s">
        <v>862</v>
      </c>
      <c r="H21" s="39"/>
      <c r="I21" s="38" t="s">
        <v>892</v>
      </c>
    </row>
    <row r="22" spans="2:9" ht="18" customHeight="1">
      <c r="B22" s="1"/>
      <c r="C22" s="38" t="s">
        <v>53</v>
      </c>
      <c r="D22" s="38" t="s">
        <v>893</v>
      </c>
      <c r="E22" s="39"/>
      <c r="F22" s="39"/>
      <c r="G22" s="38" t="s">
        <v>894</v>
      </c>
      <c r="H22" s="39"/>
      <c r="I22" s="38" t="s">
        <v>895</v>
      </c>
    </row>
    <row r="23" spans="2:9" ht="18" customHeight="1">
      <c r="B23" s="1"/>
      <c r="C23" s="38" t="s">
        <v>67</v>
      </c>
      <c r="D23" s="38" t="s">
        <v>896</v>
      </c>
      <c r="E23" s="39"/>
      <c r="F23" s="39"/>
      <c r="G23" s="38" t="s">
        <v>877</v>
      </c>
      <c r="H23" s="39"/>
      <c r="I23" s="38" t="s">
        <v>897</v>
      </c>
    </row>
    <row r="24" spans="2:9" ht="15.75" customHeight="1">
      <c r="B24" s="64" t="s">
        <v>150</v>
      </c>
      <c r="C24" s="49"/>
      <c r="D24" s="49"/>
      <c r="E24" s="49"/>
      <c r="F24" s="49"/>
      <c r="G24" s="49"/>
      <c r="H24" s="49"/>
      <c r="I24" s="43"/>
    </row>
    <row r="25" spans="2:9" ht="18" customHeight="1">
      <c r="B25" s="1"/>
      <c r="C25" s="38" t="s">
        <v>63</v>
      </c>
      <c r="D25" s="38" t="s">
        <v>898</v>
      </c>
      <c r="E25" s="39"/>
      <c r="F25" s="39"/>
      <c r="G25" s="38" t="s">
        <v>632</v>
      </c>
      <c r="H25" s="39"/>
      <c r="I25" s="38" t="s">
        <v>899</v>
      </c>
    </row>
    <row r="26" spans="2:9" ht="18" customHeight="1">
      <c r="B26" s="1"/>
      <c r="C26" s="38" t="s">
        <v>71</v>
      </c>
      <c r="D26" s="38" t="s">
        <v>900</v>
      </c>
      <c r="E26" s="39"/>
      <c r="F26" s="39"/>
      <c r="G26" s="38" t="s">
        <v>888</v>
      </c>
      <c r="H26" s="39"/>
      <c r="I26" s="38" t="s">
        <v>901</v>
      </c>
    </row>
    <row r="27" spans="2:9" ht="18" customHeight="1">
      <c r="B27" s="1"/>
      <c r="C27" s="38" t="s">
        <v>58</v>
      </c>
      <c r="D27" s="38" t="s">
        <v>902</v>
      </c>
      <c r="E27" s="39"/>
      <c r="F27" s="39"/>
      <c r="G27" s="38" t="s">
        <v>862</v>
      </c>
      <c r="H27" s="39"/>
      <c r="I27" s="39"/>
    </row>
    <row r="28" spans="2:9" ht="15.75" customHeight="1">
      <c r="B28" s="64" t="s">
        <v>160</v>
      </c>
      <c r="C28" s="49"/>
      <c r="D28" s="49"/>
      <c r="E28" s="49"/>
      <c r="F28" s="49"/>
      <c r="G28" s="49"/>
      <c r="H28" s="49"/>
      <c r="I28" s="43"/>
    </row>
    <row r="29" spans="2:9" ht="18" customHeight="1">
      <c r="B29" s="1"/>
      <c r="C29" s="38" t="s">
        <v>58</v>
      </c>
      <c r="D29" s="38" t="s">
        <v>903</v>
      </c>
      <c r="E29" s="39"/>
      <c r="F29" s="39"/>
      <c r="G29" s="38" t="s">
        <v>862</v>
      </c>
      <c r="H29" s="39"/>
      <c r="I29" s="38" t="s">
        <v>629</v>
      </c>
    </row>
    <row r="30" spans="2:9" ht="18" customHeight="1">
      <c r="B30" s="1"/>
      <c r="C30" s="38" t="s">
        <v>58</v>
      </c>
      <c r="D30" s="38" t="s">
        <v>904</v>
      </c>
      <c r="E30" s="39"/>
      <c r="F30" s="39"/>
      <c r="G30" s="38" t="s">
        <v>862</v>
      </c>
      <c r="H30" s="39"/>
      <c r="I30" s="38" t="s">
        <v>629</v>
      </c>
    </row>
    <row r="31" spans="2:9" ht="18" customHeight="1">
      <c r="B31" s="1"/>
      <c r="C31" s="38" t="s">
        <v>53</v>
      </c>
      <c r="D31" s="38" t="s">
        <v>905</v>
      </c>
      <c r="E31" s="39"/>
      <c r="F31" s="39"/>
      <c r="G31" s="38" t="s">
        <v>870</v>
      </c>
      <c r="H31" s="39"/>
      <c r="I31" s="38" t="s">
        <v>629</v>
      </c>
    </row>
    <row r="32" spans="2:9" ht="15.75" customHeight="1">
      <c r="B32" s="64" t="s">
        <v>170</v>
      </c>
      <c r="C32" s="49"/>
      <c r="D32" s="49"/>
      <c r="E32" s="49"/>
      <c r="F32" s="49"/>
      <c r="G32" s="49"/>
      <c r="H32" s="49"/>
      <c r="I32" s="43"/>
    </row>
    <row r="33" spans="2:9" ht="18" customHeight="1">
      <c r="B33" s="1"/>
      <c r="C33" s="38" t="s">
        <v>63</v>
      </c>
      <c r="D33" s="38" t="s">
        <v>906</v>
      </c>
      <c r="E33" s="39"/>
      <c r="F33" s="39"/>
      <c r="G33" s="38" t="s">
        <v>602</v>
      </c>
      <c r="H33" s="39"/>
      <c r="I33" s="38" t="s">
        <v>907</v>
      </c>
    </row>
    <row r="34" spans="2:9" ht="18" customHeight="1">
      <c r="B34" s="1"/>
      <c r="C34" s="1"/>
      <c r="D34" s="1"/>
      <c r="E34" s="1"/>
      <c r="F34" s="1"/>
      <c r="G34" s="1"/>
      <c r="H34" s="1"/>
      <c r="I34" s="1"/>
    </row>
    <row r="35" spans="2:9" ht="18" customHeight="1">
      <c r="B35" s="1"/>
      <c r="C35" s="1"/>
      <c r="D35" s="1"/>
      <c r="E35" s="1"/>
      <c r="F35" s="1"/>
      <c r="G35" s="1"/>
      <c r="H35" s="1"/>
      <c r="I35" s="1"/>
    </row>
    <row r="36" spans="2:9" ht="14.25" customHeight="1"/>
    <row r="37" spans="2:9" ht="21.75" customHeight="1">
      <c r="B37" s="47" t="s">
        <v>290</v>
      </c>
      <c r="C37" s="49"/>
      <c r="D37" s="49"/>
      <c r="E37" s="49"/>
      <c r="F37" s="49"/>
      <c r="G37" s="49"/>
      <c r="H37" s="49"/>
      <c r="I37" s="43"/>
    </row>
    <row r="38" spans="2:9" ht="13.5" customHeight="1">
      <c r="B38" s="56" t="s">
        <v>172</v>
      </c>
      <c r="C38" s="57"/>
      <c r="D38" s="57"/>
      <c r="E38" s="57"/>
      <c r="F38" s="57"/>
      <c r="G38" s="57"/>
      <c r="H38" s="57"/>
      <c r="I38" s="57"/>
    </row>
    <row r="39" spans="2:9" ht="19.5" customHeight="1">
      <c r="B39" s="20" t="s">
        <v>173</v>
      </c>
      <c r="C39" s="20" t="s">
        <v>174</v>
      </c>
      <c r="D39" s="20" t="s">
        <v>175</v>
      </c>
      <c r="E39" s="65" t="s">
        <v>176</v>
      </c>
      <c r="F39" s="49"/>
      <c r="G39" s="49"/>
      <c r="H39" s="49"/>
      <c r="I39" s="43"/>
    </row>
    <row r="40" spans="2:9" ht="21.75" customHeight="1">
      <c r="B40" s="66" t="s">
        <v>638</v>
      </c>
      <c r="C40" s="49"/>
      <c r="D40" s="43"/>
      <c r="E40" s="50" t="s">
        <v>908</v>
      </c>
      <c r="F40" s="49"/>
      <c r="G40" s="49"/>
      <c r="H40" s="49"/>
      <c r="I40" s="43"/>
    </row>
    <row r="41" spans="2:9" ht="21.75" customHeight="1">
      <c r="B41" s="54" t="s">
        <v>179</v>
      </c>
      <c r="C41" s="49"/>
      <c r="D41" s="43"/>
      <c r="E41" s="74" t="s">
        <v>909</v>
      </c>
      <c r="F41" s="49"/>
      <c r="G41" s="49"/>
      <c r="H41" s="49"/>
      <c r="I41" s="43"/>
    </row>
    <row r="42" spans="2:9" ht="21.75" customHeight="1">
      <c r="B42" s="54" t="s">
        <v>181</v>
      </c>
      <c r="C42" s="49"/>
      <c r="D42" s="43"/>
      <c r="E42" s="74" t="s">
        <v>910</v>
      </c>
      <c r="F42" s="49"/>
      <c r="G42" s="49"/>
      <c r="H42" s="49"/>
      <c r="I42" s="43"/>
    </row>
    <row r="43" spans="2:9" ht="21.75" customHeight="1">
      <c r="B43" s="54" t="s">
        <v>183</v>
      </c>
      <c r="C43" s="49"/>
      <c r="D43" s="43"/>
      <c r="E43" s="74" t="s">
        <v>911</v>
      </c>
      <c r="F43" s="49"/>
      <c r="G43" s="49"/>
      <c r="H43" s="49"/>
      <c r="I43" s="43"/>
    </row>
    <row r="44" spans="2:9" ht="21.75" customHeight="1">
      <c r="B44" s="66" t="s">
        <v>559</v>
      </c>
      <c r="C44" s="49"/>
      <c r="D44" s="43"/>
      <c r="E44" s="74" t="s">
        <v>912</v>
      </c>
      <c r="F44" s="49"/>
      <c r="G44" s="49"/>
      <c r="H44" s="49"/>
      <c r="I44" s="43"/>
    </row>
    <row r="45" spans="2:9" ht="21.75" customHeight="1">
      <c r="B45" s="54" t="s">
        <v>179</v>
      </c>
      <c r="C45" s="49"/>
      <c r="D45" s="43"/>
      <c r="E45" s="74" t="s">
        <v>913</v>
      </c>
      <c r="F45" s="49"/>
      <c r="G45" s="49"/>
      <c r="H45" s="49"/>
      <c r="I45" s="43"/>
    </row>
    <row r="46" spans="2:9" ht="21.75" customHeight="1">
      <c r="B46" s="54" t="s">
        <v>181</v>
      </c>
      <c r="C46" s="49"/>
      <c r="D46" s="43"/>
      <c r="E46" s="74" t="s">
        <v>914</v>
      </c>
      <c r="F46" s="49"/>
      <c r="G46" s="49"/>
      <c r="H46" s="49"/>
      <c r="I46" s="43"/>
    </row>
    <row r="47" spans="2:9" ht="21.75" customHeight="1">
      <c r="B47" s="54" t="s">
        <v>183</v>
      </c>
      <c r="C47" s="49"/>
      <c r="D47" s="43"/>
      <c r="E47" s="74" t="s">
        <v>915</v>
      </c>
      <c r="F47" s="49"/>
      <c r="G47" s="49"/>
      <c r="H47" s="49"/>
      <c r="I47" s="43"/>
    </row>
    <row r="48" spans="2:9" ht="21.75" customHeight="1">
      <c r="B48" s="66" t="s">
        <v>564</v>
      </c>
      <c r="C48" s="49"/>
      <c r="D48" s="43"/>
      <c r="E48" s="74" t="s">
        <v>916</v>
      </c>
      <c r="F48" s="49"/>
      <c r="G48" s="49"/>
      <c r="H48" s="49"/>
      <c r="I48" s="43"/>
    </row>
    <row r="49" spans="2:9" ht="21.75" customHeight="1">
      <c r="B49" s="54" t="s">
        <v>179</v>
      </c>
      <c r="C49" s="49"/>
      <c r="D49" s="43"/>
      <c r="E49" s="74" t="s">
        <v>917</v>
      </c>
      <c r="F49" s="49"/>
      <c r="G49" s="49"/>
      <c r="H49" s="49"/>
      <c r="I49" s="43"/>
    </row>
    <row r="50" spans="2:9" ht="21.75" customHeight="1">
      <c r="B50" s="54" t="s">
        <v>181</v>
      </c>
      <c r="C50" s="49"/>
      <c r="D50" s="43"/>
      <c r="E50" s="74" t="s">
        <v>918</v>
      </c>
      <c r="F50" s="49"/>
      <c r="G50" s="49"/>
      <c r="H50" s="49"/>
      <c r="I50" s="43"/>
    </row>
    <row r="51" spans="2:9" ht="21.75" customHeight="1">
      <c r="B51" s="54" t="s">
        <v>183</v>
      </c>
      <c r="C51" s="49"/>
      <c r="D51" s="43"/>
      <c r="E51" s="74" t="s">
        <v>919</v>
      </c>
      <c r="F51" s="49"/>
      <c r="G51" s="49"/>
      <c r="H51" s="49"/>
      <c r="I51" s="43"/>
    </row>
    <row r="52" spans="2:9" ht="21.75" customHeight="1">
      <c r="B52" s="66" t="s">
        <v>920</v>
      </c>
      <c r="C52" s="49"/>
      <c r="D52" s="43"/>
      <c r="E52" s="74" t="s">
        <v>921</v>
      </c>
      <c r="F52" s="49"/>
      <c r="G52" s="49"/>
      <c r="H52" s="49"/>
      <c r="I52" s="43"/>
    </row>
    <row r="53" spans="2:9" ht="21.75" customHeight="1">
      <c r="B53" s="54" t="s">
        <v>179</v>
      </c>
      <c r="C53" s="49"/>
      <c r="D53" s="43"/>
      <c r="E53" s="74" t="s">
        <v>922</v>
      </c>
      <c r="F53" s="49"/>
      <c r="G53" s="49"/>
      <c r="H53" s="49"/>
      <c r="I53" s="43"/>
    </row>
    <row r="54" spans="2:9" ht="21.75" customHeight="1">
      <c r="B54" s="54" t="s">
        <v>181</v>
      </c>
      <c r="C54" s="49"/>
      <c r="D54" s="43"/>
      <c r="E54" s="74" t="s">
        <v>923</v>
      </c>
      <c r="F54" s="49"/>
      <c r="G54" s="49"/>
      <c r="H54" s="49"/>
      <c r="I54" s="43"/>
    </row>
    <row r="55" spans="2:9" ht="21.75" customHeight="1">
      <c r="B55" s="54" t="s">
        <v>183</v>
      </c>
      <c r="C55" s="49"/>
      <c r="D55" s="43"/>
      <c r="E55" s="74" t="s">
        <v>924</v>
      </c>
      <c r="F55" s="49"/>
      <c r="G55" s="49"/>
      <c r="H55" s="49"/>
      <c r="I55" s="43"/>
    </row>
    <row r="56" spans="2:9" ht="14.25" customHeight="1">
      <c r="E56" s="74" t="s">
        <v>925</v>
      </c>
      <c r="F56" s="49"/>
      <c r="G56" s="49"/>
      <c r="H56" s="49"/>
      <c r="I56" s="43"/>
    </row>
    <row r="57" spans="2:9" ht="21.75" customHeight="1">
      <c r="B57" s="55" t="s">
        <v>199</v>
      </c>
      <c r="C57" s="49"/>
      <c r="D57" s="49"/>
      <c r="E57" s="49"/>
      <c r="F57" s="49"/>
      <c r="G57" s="49"/>
      <c r="H57" s="49"/>
      <c r="I57" s="43"/>
    </row>
    <row r="58" spans="2:9" ht="13.5" customHeight="1">
      <c r="B58" s="56" t="s">
        <v>200</v>
      </c>
      <c r="C58" s="57"/>
      <c r="D58" s="57"/>
      <c r="E58" s="57"/>
      <c r="F58" s="57"/>
      <c r="G58" s="57"/>
      <c r="H58" s="57"/>
      <c r="I58" s="57"/>
    </row>
    <row r="59" spans="2:9" ht="18" customHeight="1">
      <c r="B59" s="58" t="s">
        <v>201</v>
      </c>
      <c r="C59" s="49"/>
      <c r="D59" s="49"/>
      <c r="E59" s="49"/>
      <c r="F59" s="49"/>
      <c r="G59" s="49"/>
      <c r="H59" s="49"/>
      <c r="I59" s="43"/>
    </row>
    <row r="60" spans="2:9" ht="18" customHeight="1">
      <c r="B60" s="53" t="s">
        <v>202</v>
      </c>
      <c r="C60" s="49"/>
      <c r="D60" s="43"/>
      <c r="E60" s="75" t="s">
        <v>926</v>
      </c>
      <c r="F60" s="57"/>
      <c r="G60" s="57"/>
      <c r="H60" s="57"/>
      <c r="I60" s="57"/>
    </row>
    <row r="61" spans="2:9" ht="18" customHeight="1">
      <c r="B61" s="53" t="s">
        <v>204</v>
      </c>
      <c r="C61" s="49"/>
      <c r="D61" s="43"/>
      <c r="E61" s="75" t="s">
        <v>927</v>
      </c>
      <c r="F61" s="57"/>
      <c r="G61" s="57"/>
      <c r="H61" s="57"/>
      <c r="I61" s="57"/>
    </row>
    <row r="62" spans="2:9" ht="18" customHeight="1">
      <c r="B62" s="53" t="s">
        <v>206</v>
      </c>
      <c r="C62" s="49"/>
      <c r="D62" s="43"/>
      <c r="E62" s="75" t="s">
        <v>928</v>
      </c>
      <c r="F62" s="57"/>
      <c r="G62" s="57"/>
      <c r="H62" s="57"/>
      <c r="I62" s="57"/>
    </row>
    <row r="63" spans="2:9" ht="18" customHeight="1">
      <c r="B63" s="53" t="s">
        <v>208</v>
      </c>
      <c r="C63" s="49"/>
      <c r="D63" s="43"/>
      <c r="E63" s="75" t="s">
        <v>929</v>
      </c>
      <c r="F63" s="57"/>
      <c r="G63" s="57"/>
      <c r="H63" s="57"/>
      <c r="I63" s="57"/>
    </row>
    <row r="64" spans="2:9" ht="18" customHeight="1">
      <c r="B64" s="53" t="s">
        <v>210</v>
      </c>
      <c r="C64" s="49"/>
      <c r="D64" s="43"/>
      <c r="E64" s="75" t="s">
        <v>930</v>
      </c>
      <c r="F64" s="57"/>
      <c r="G64" s="57"/>
      <c r="H64" s="57"/>
      <c r="I64" s="57"/>
    </row>
    <row r="65" spans="2:9" ht="14.25" customHeight="1"/>
    <row r="66" spans="2:9" ht="18" customHeight="1">
      <c r="B66" s="58" t="s">
        <v>212</v>
      </c>
      <c r="C66" s="49"/>
      <c r="D66" s="49"/>
      <c r="E66" s="49"/>
      <c r="F66" s="49"/>
      <c r="G66" s="49"/>
      <c r="H66" s="49"/>
      <c r="I66" s="43"/>
    </row>
    <row r="67" spans="2:9" ht="18" customHeight="1">
      <c r="B67" s="53" t="s">
        <v>202</v>
      </c>
      <c r="C67" s="49"/>
      <c r="D67" s="43"/>
      <c r="E67" s="75" t="s">
        <v>931</v>
      </c>
      <c r="F67" s="57"/>
      <c r="G67" s="57"/>
      <c r="H67" s="57"/>
      <c r="I67" s="57"/>
    </row>
    <row r="68" spans="2:9" ht="18" customHeight="1">
      <c r="B68" s="53" t="s">
        <v>204</v>
      </c>
      <c r="C68" s="49"/>
      <c r="D68" s="43"/>
      <c r="E68" s="75" t="s">
        <v>932</v>
      </c>
      <c r="F68" s="57"/>
      <c r="G68" s="57"/>
      <c r="H68" s="57"/>
      <c r="I68" s="57"/>
    </row>
    <row r="69" spans="2:9" ht="18" customHeight="1">
      <c r="B69" s="53" t="s">
        <v>206</v>
      </c>
      <c r="C69" s="49"/>
      <c r="D69" s="43"/>
      <c r="E69" s="75" t="s">
        <v>933</v>
      </c>
      <c r="F69" s="57"/>
      <c r="G69" s="57"/>
      <c r="H69" s="57"/>
      <c r="I69" s="57"/>
    </row>
    <row r="70" spans="2:9" ht="18" customHeight="1">
      <c r="B70" s="53" t="s">
        <v>208</v>
      </c>
      <c r="C70" s="49"/>
      <c r="D70" s="43"/>
      <c r="E70" s="75" t="s">
        <v>934</v>
      </c>
      <c r="F70" s="57"/>
      <c r="G70" s="57"/>
      <c r="H70" s="57"/>
      <c r="I70" s="57"/>
    </row>
    <row r="71" spans="2:9" ht="18" customHeight="1">
      <c r="B71" s="53" t="s">
        <v>210</v>
      </c>
      <c r="C71" s="49"/>
      <c r="D71" s="43"/>
      <c r="E71" s="75" t="s">
        <v>935</v>
      </c>
      <c r="F71" s="57"/>
      <c r="G71" s="57"/>
      <c r="H71" s="57"/>
      <c r="I71" s="57"/>
    </row>
    <row r="72" spans="2:9" ht="14.25" customHeight="1"/>
    <row r="73" spans="2:9" ht="18" customHeight="1">
      <c r="B73" s="58" t="s">
        <v>218</v>
      </c>
      <c r="C73" s="49"/>
      <c r="D73" s="49"/>
      <c r="E73" s="49"/>
      <c r="F73" s="49"/>
      <c r="G73" s="49"/>
      <c r="H73" s="49"/>
      <c r="I73" s="43"/>
    </row>
    <row r="74" spans="2:9" ht="18" customHeight="1">
      <c r="B74" s="53" t="s">
        <v>202</v>
      </c>
      <c r="C74" s="49"/>
      <c r="D74" s="43"/>
      <c r="E74" s="76" t="s">
        <v>936</v>
      </c>
      <c r="F74" s="49"/>
      <c r="G74" s="49"/>
      <c r="H74" s="49"/>
      <c r="I74" s="43"/>
    </row>
    <row r="75" spans="2:9" ht="18" customHeight="1">
      <c r="B75" s="53" t="s">
        <v>204</v>
      </c>
      <c r="C75" s="49"/>
      <c r="D75" s="43"/>
      <c r="E75" s="76" t="s">
        <v>937</v>
      </c>
      <c r="F75" s="49"/>
      <c r="G75" s="49"/>
      <c r="H75" s="49"/>
      <c r="I75" s="43"/>
    </row>
    <row r="76" spans="2:9" ht="18" customHeight="1">
      <c r="B76" s="53" t="s">
        <v>206</v>
      </c>
      <c r="C76" s="49"/>
      <c r="D76" s="43"/>
      <c r="E76" s="76" t="s">
        <v>938</v>
      </c>
      <c r="F76" s="49"/>
      <c r="G76" s="49"/>
      <c r="H76" s="49"/>
      <c r="I76" s="43"/>
    </row>
    <row r="77" spans="2:9" ht="18" customHeight="1">
      <c r="B77" s="53" t="s">
        <v>208</v>
      </c>
      <c r="C77" s="49"/>
      <c r="D77" s="43"/>
      <c r="E77" s="76" t="s">
        <v>939</v>
      </c>
      <c r="F77" s="49"/>
      <c r="G77" s="49"/>
      <c r="H77" s="49"/>
      <c r="I77" s="43"/>
    </row>
    <row r="78" spans="2:9" ht="18" customHeight="1">
      <c r="B78" s="53" t="s">
        <v>210</v>
      </c>
      <c r="C78" s="49"/>
      <c r="D78" s="43"/>
      <c r="E78" s="76" t="s">
        <v>940</v>
      </c>
      <c r="F78" s="49"/>
      <c r="G78" s="49"/>
      <c r="H78" s="49"/>
      <c r="I78" s="43"/>
    </row>
    <row r="79" spans="2:9" ht="14.25" customHeight="1"/>
    <row r="80" spans="2:9" ht="18" customHeight="1">
      <c r="B80" s="58" t="s">
        <v>224</v>
      </c>
      <c r="C80" s="49"/>
      <c r="D80" s="49"/>
      <c r="E80" s="49"/>
      <c r="F80" s="49"/>
      <c r="G80" s="49"/>
      <c r="H80" s="49"/>
      <c r="I80" s="43"/>
    </row>
    <row r="81" spans="2:9" ht="18" customHeight="1">
      <c r="B81" s="53" t="s">
        <v>202</v>
      </c>
      <c r="C81" s="49"/>
      <c r="D81" s="43"/>
      <c r="E81" s="76" t="s">
        <v>941</v>
      </c>
      <c r="F81" s="49"/>
      <c r="G81" s="49"/>
      <c r="H81" s="49"/>
      <c r="I81" s="43"/>
    </row>
    <row r="82" spans="2:9" ht="18" customHeight="1">
      <c r="B82" s="53" t="s">
        <v>204</v>
      </c>
      <c r="C82" s="49"/>
      <c r="D82" s="43"/>
      <c r="E82" s="76" t="s">
        <v>942</v>
      </c>
      <c r="F82" s="49"/>
      <c r="G82" s="49"/>
      <c r="H82" s="49"/>
      <c r="I82" s="43"/>
    </row>
    <row r="83" spans="2:9" ht="18" customHeight="1">
      <c r="B83" s="53" t="s">
        <v>206</v>
      </c>
      <c r="C83" s="49"/>
      <c r="D83" s="43"/>
      <c r="E83" s="76" t="s">
        <v>943</v>
      </c>
      <c r="F83" s="49"/>
      <c r="G83" s="49"/>
      <c r="H83" s="49"/>
      <c r="I83" s="43"/>
    </row>
    <row r="84" spans="2:9" ht="18" customHeight="1">
      <c r="B84" s="53" t="s">
        <v>208</v>
      </c>
      <c r="C84" s="49"/>
      <c r="D84" s="43"/>
      <c r="E84" s="76" t="s">
        <v>944</v>
      </c>
      <c r="F84" s="49"/>
      <c r="G84" s="49"/>
      <c r="H84" s="49"/>
      <c r="I84" s="43"/>
    </row>
    <row r="85" spans="2:9" ht="18" customHeight="1">
      <c r="B85" s="53" t="s">
        <v>210</v>
      </c>
      <c r="C85" s="49"/>
      <c r="D85" s="43"/>
      <c r="E85" s="76" t="s">
        <v>945</v>
      </c>
      <c r="F85" s="49"/>
      <c r="G85" s="49"/>
      <c r="H85" s="49"/>
      <c r="I85" s="43"/>
    </row>
    <row r="86" spans="2:9" ht="14.25" customHeight="1"/>
    <row r="87" spans="2:9" ht="18" customHeight="1">
      <c r="B87" s="58" t="s">
        <v>230</v>
      </c>
      <c r="C87" s="49"/>
      <c r="D87" s="49"/>
      <c r="E87" s="49"/>
      <c r="F87" s="49"/>
      <c r="G87" s="49"/>
      <c r="H87" s="49"/>
      <c r="I87" s="43"/>
    </row>
    <row r="88" spans="2:9" ht="18" customHeight="1">
      <c r="B88" s="53" t="s">
        <v>202</v>
      </c>
      <c r="C88" s="49"/>
      <c r="D88" s="43"/>
      <c r="E88" s="76" t="s">
        <v>946</v>
      </c>
      <c r="F88" s="49"/>
      <c r="G88" s="49"/>
      <c r="H88" s="49"/>
      <c r="I88" s="43"/>
    </row>
    <row r="89" spans="2:9" ht="18" customHeight="1">
      <c r="B89" s="53" t="s">
        <v>204</v>
      </c>
      <c r="C89" s="49"/>
      <c r="D89" s="43"/>
      <c r="E89" s="76" t="s">
        <v>947</v>
      </c>
      <c r="F89" s="49"/>
      <c r="G89" s="49"/>
      <c r="H89" s="49"/>
      <c r="I89" s="43"/>
    </row>
    <row r="90" spans="2:9" ht="18" customHeight="1">
      <c r="B90" s="53" t="s">
        <v>206</v>
      </c>
      <c r="C90" s="49"/>
      <c r="D90" s="43"/>
      <c r="E90" s="76" t="s">
        <v>948</v>
      </c>
      <c r="F90" s="49"/>
      <c r="G90" s="49"/>
      <c r="H90" s="49"/>
      <c r="I90" s="43"/>
    </row>
    <row r="91" spans="2:9" ht="18" customHeight="1">
      <c r="B91" s="53" t="s">
        <v>208</v>
      </c>
      <c r="C91" s="49"/>
      <c r="D91" s="43"/>
      <c r="E91" s="76" t="s">
        <v>949</v>
      </c>
      <c r="F91" s="49"/>
      <c r="G91" s="49"/>
      <c r="H91" s="49"/>
      <c r="I91" s="43"/>
    </row>
    <row r="92" spans="2:9" ht="18" customHeight="1">
      <c r="B92" s="53" t="s">
        <v>210</v>
      </c>
      <c r="C92" s="49"/>
      <c r="D92" s="43"/>
      <c r="E92" s="76" t="s">
        <v>950</v>
      </c>
      <c r="F92" s="49"/>
      <c r="G92" s="49"/>
      <c r="H92" s="49"/>
      <c r="I92" s="43"/>
    </row>
    <row r="93" spans="2:9" ht="14.25" customHeight="1"/>
    <row r="94" spans="2:9" ht="15.75" customHeight="1">
      <c r="B94" s="60" t="s">
        <v>951</v>
      </c>
      <c r="C94" s="49"/>
      <c r="D94" s="49"/>
      <c r="E94" s="49"/>
      <c r="F94" s="49"/>
      <c r="G94" s="49"/>
      <c r="H94" s="49"/>
      <c r="I94" s="43"/>
    </row>
    <row r="95" spans="2:9" ht="14.25" customHeight="1"/>
    <row r="96" spans="2:9"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6">
    <mergeCell ref="B52:D52"/>
    <mergeCell ref="B60:D60"/>
    <mergeCell ref="B61:D61"/>
    <mergeCell ref="B62:D62"/>
    <mergeCell ref="B63:D63"/>
    <mergeCell ref="E61:I61"/>
    <mergeCell ref="E62:I62"/>
    <mergeCell ref="E63:I63"/>
    <mergeCell ref="E47:I47"/>
    <mergeCell ref="E48:I48"/>
    <mergeCell ref="E49:I49"/>
    <mergeCell ref="E50:I50"/>
    <mergeCell ref="E51:I51"/>
    <mergeCell ref="E52:I52"/>
    <mergeCell ref="B42:D42"/>
    <mergeCell ref="E41:I41"/>
    <mergeCell ref="E42:I42"/>
    <mergeCell ref="B46:D46"/>
    <mergeCell ref="B47:D47"/>
    <mergeCell ref="B48:D48"/>
    <mergeCell ref="B49:D49"/>
    <mergeCell ref="B50:D50"/>
    <mergeCell ref="B51:D51"/>
    <mergeCell ref="B43:D43"/>
    <mergeCell ref="B44:D44"/>
    <mergeCell ref="B45:D45"/>
    <mergeCell ref="E43:I43"/>
    <mergeCell ref="E44:I44"/>
    <mergeCell ref="E45:I45"/>
    <mergeCell ref="E46:I46"/>
    <mergeCell ref="B24:I24"/>
    <mergeCell ref="B28:I28"/>
    <mergeCell ref="B32:I32"/>
    <mergeCell ref="B37:I37"/>
    <mergeCell ref="B38:I38"/>
    <mergeCell ref="E39:I39"/>
    <mergeCell ref="B40:D40"/>
    <mergeCell ref="E40:I40"/>
    <mergeCell ref="B41:D41"/>
    <mergeCell ref="B2:I2"/>
    <mergeCell ref="B3:I3"/>
    <mergeCell ref="B5:I5"/>
    <mergeCell ref="B6:I6"/>
    <mergeCell ref="B17:I17"/>
    <mergeCell ref="B18:I18"/>
    <mergeCell ref="G19:H19"/>
    <mergeCell ref="D19:F19"/>
    <mergeCell ref="B20:I20"/>
    <mergeCell ref="B90:D90"/>
    <mergeCell ref="B91:D91"/>
    <mergeCell ref="B92:D92"/>
    <mergeCell ref="B94:I94"/>
    <mergeCell ref="E90:I90"/>
    <mergeCell ref="E91:I91"/>
    <mergeCell ref="E92:I92"/>
    <mergeCell ref="B87:I87"/>
    <mergeCell ref="B88:D88"/>
    <mergeCell ref="B89:D89"/>
    <mergeCell ref="E88:I88"/>
    <mergeCell ref="E89:I89"/>
    <mergeCell ref="B83:D83"/>
    <mergeCell ref="B84:D84"/>
    <mergeCell ref="B85:D85"/>
    <mergeCell ref="B80:I80"/>
    <mergeCell ref="B81:D81"/>
    <mergeCell ref="B82:D82"/>
    <mergeCell ref="E78:I78"/>
    <mergeCell ref="E81:I81"/>
    <mergeCell ref="E82:I82"/>
    <mergeCell ref="E83:I83"/>
    <mergeCell ref="E84:I84"/>
    <mergeCell ref="E85:I85"/>
    <mergeCell ref="B70:D70"/>
    <mergeCell ref="B71:D71"/>
    <mergeCell ref="B73:I73"/>
    <mergeCell ref="E69:I69"/>
    <mergeCell ref="E70:I70"/>
    <mergeCell ref="E71:I71"/>
    <mergeCell ref="B77:D77"/>
    <mergeCell ref="B78:D78"/>
    <mergeCell ref="B74:D74"/>
    <mergeCell ref="B75:D75"/>
    <mergeCell ref="B76:D76"/>
    <mergeCell ref="E74:I74"/>
    <mergeCell ref="E75:I75"/>
    <mergeCell ref="E76:I76"/>
    <mergeCell ref="E77:I77"/>
    <mergeCell ref="E60:I60"/>
    <mergeCell ref="B64:D64"/>
    <mergeCell ref="B66:I66"/>
    <mergeCell ref="B67:D67"/>
    <mergeCell ref="B68:D68"/>
    <mergeCell ref="E64:I64"/>
    <mergeCell ref="E67:I67"/>
    <mergeCell ref="E68:I68"/>
    <mergeCell ref="B69:D69"/>
    <mergeCell ref="B53:D53"/>
    <mergeCell ref="B54:D54"/>
    <mergeCell ref="B55:D55"/>
    <mergeCell ref="B57:I57"/>
    <mergeCell ref="B58:I58"/>
    <mergeCell ref="B59:I59"/>
    <mergeCell ref="E53:I53"/>
    <mergeCell ref="E54:I54"/>
    <mergeCell ref="E55:I55"/>
    <mergeCell ref="E56:I56"/>
  </mergeCells>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00"/>
  <sheetViews>
    <sheetView showGridLines="0" workbookViewId="0"/>
  </sheetViews>
  <sheetFormatPr defaultColWidth="14.42578125" defaultRowHeight="15" customHeight="1"/>
  <cols>
    <col min="1" max="1" width="3" customWidth="1"/>
    <col min="2" max="2" width="12" customWidth="1"/>
    <col min="3" max="3" width="6" customWidth="1"/>
    <col min="4" max="4" width="59.85546875" customWidth="1"/>
    <col min="5" max="5" width="61.42578125" customWidth="1"/>
    <col min="6" max="6" width="29" customWidth="1"/>
    <col min="7" max="7" width="27.7109375" customWidth="1"/>
    <col min="8" max="8" width="57.7109375" customWidth="1"/>
    <col min="9" max="9" width="69.140625" customWidth="1"/>
    <col min="10" max="26" width="8.5703125" customWidth="1"/>
  </cols>
  <sheetData>
    <row r="1" spans="2:9" ht="13.5" customHeight="1"/>
    <row r="2" spans="2:9" ht="33.75" customHeight="1">
      <c r="B2" s="61" t="s">
        <v>952</v>
      </c>
      <c r="C2" s="49"/>
      <c r="D2" s="49"/>
      <c r="E2" s="49"/>
      <c r="F2" s="49"/>
      <c r="G2" s="49"/>
      <c r="H2" s="49"/>
      <c r="I2" s="43"/>
    </row>
    <row r="3" spans="2:9" ht="15.75" customHeight="1">
      <c r="B3" s="62" t="s">
        <v>84</v>
      </c>
      <c r="C3" s="57"/>
      <c r="D3" s="57"/>
      <c r="E3" s="57"/>
      <c r="F3" s="57"/>
      <c r="G3" s="57"/>
      <c r="H3" s="57"/>
      <c r="I3" s="57"/>
    </row>
    <row r="4" spans="2:9" ht="14.25" customHeight="1"/>
    <row r="5" spans="2:9" ht="21.75" customHeight="1">
      <c r="B5" s="46" t="s">
        <v>85</v>
      </c>
      <c r="C5" s="49"/>
      <c r="D5" s="49"/>
      <c r="E5" s="49"/>
      <c r="F5" s="49"/>
      <c r="G5" s="49"/>
      <c r="H5" s="49"/>
      <c r="I5" s="43"/>
    </row>
    <row r="6" spans="2:9" ht="13.5" customHeight="1">
      <c r="B6" s="56" t="s">
        <v>86</v>
      </c>
      <c r="C6" s="57"/>
      <c r="D6" s="57"/>
      <c r="E6" s="57"/>
      <c r="F6" s="57"/>
      <c r="G6" s="57"/>
      <c r="H6" s="57"/>
      <c r="I6" s="57"/>
    </row>
    <row r="7" spans="2:9" ht="19.5" customHeight="1">
      <c r="B7" s="3" t="s">
        <v>87</v>
      </c>
      <c r="C7" s="3" t="s">
        <v>88</v>
      </c>
      <c r="D7" s="3" t="s">
        <v>89</v>
      </c>
      <c r="E7" s="3" t="s">
        <v>90</v>
      </c>
      <c r="F7" s="3" t="s">
        <v>91</v>
      </c>
      <c r="G7" s="3" t="s">
        <v>92</v>
      </c>
      <c r="H7" s="3" t="s">
        <v>93</v>
      </c>
      <c r="I7" s="3" t="s">
        <v>94</v>
      </c>
    </row>
    <row r="8" spans="2:9" ht="18" customHeight="1">
      <c r="B8" s="37">
        <v>46216</v>
      </c>
      <c r="C8" s="38" t="s">
        <v>53</v>
      </c>
      <c r="D8" s="38" t="s">
        <v>596</v>
      </c>
      <c r="E8" s="38" t="s">
        <v>953</v>
      </c>
      <c r="F8" s="38" t="s">
        <v>162</v>
      </c>
      <c r="G8" s="38" t="s">
        <v>98</v>
      </c>
      <c r="H8" s="38" t="s">
        <v>954</v>
      </c>
      <c r="I8" s="38" t="s">
        <v>955</v>
      </c>
    </row>
    <row r="9" spans="2:9" ht="18" customHeight="1">
      <c r="B9" s="37">
        <v>46217</v>
      </c>
      <c r="C9" s="38" t="s">
        <v>53</v>
      </c>
      <c r="D9" s="38" t="s">
        <v>110</v>
      </c>
      <c r="E9" s="38" t="s">
        <v>956</v>
      </c>
      <c r="F9" s="38" t="s">
        <v>957</v>
      </c>
      <c r="G9" s="38" t="s">
        <v>98</v>
      </c>
      <c r="H9" s="38" t="s">
        <v>958</v>
      </c>
      <c r="I9" s="38" t="s">
        <v>959</v>
      </c>
    </row>
    <row r="10" spans="2:9" ht="18" customHeight="1">
      <c r="B10" s="37">
        <v>46218</v>
      </c>
      <c r="C10" s="38" t="s">
        <v>63</v>
      </c>
      <c r="D10" s="38" t="s">
        <v>596</v>
      </c>
      <c r="E10" s="38" t="s">
        <v>960</v>
      </c>
      <c r="F10" s="38" t="s">
        <v>632</v>
      </c>
      <c r="G10" s="38" t="s">
        <v>98</v>
      </c>
      <c r="H10" s="38" t="s">
        <v>961</v>
      </c>
      <c r="I10" s="38" t="s">
        <v>962</v>
      </c>
    </row>
    <row r="11" spans="2:9" ht="18" customHeight="1">
      <c r="B11" s="37">
        <v>46219</v>
      </c>
      <c r="C11" s="38" t="s">
        <v>67</v>
      </c>
      <c r="D11" s="38" t="s">
        <v>110</v>
      </c>
      <c r="E11" s="38" t="s">
        <v>963</v>
      </c>
      <c r="F11" s="38" t="s">
        <v>964</v>
      </c>
      <c r="G11" s="38" t="s">
        <v>103</v>
      </c>
      <c r="H11" s="38" t="s">
        <v>965</v>
      </c>
      <c r="I11" s="38" t="s">
        <v>966</v>
      </c>
    </row>
    <row r="12" spans="2:9" ht="18" customHeight="1">
      <c r="B12" s="37">
        <v>46219</v>
      </c>
      <c r="C12" s="38" t="s">
        <v>67</v>
      </c>
      <c r="D12" s="38" t="s">
        <v>596</v>
      </c>
      <c r="E12" s="38" t="s">
        <v>967</v>
      </c>
      <c r="F12" s="38" t="s">
        <v>968</v>
      </c>
      <c r="G12" s="38" t="s">
        <v>98</v>
      </c>
      <c r="H12" s="38" t="s">
        <v>969</v>
      </c>
      <c r="I12" s="38" t="s">
        <v>970</v>
      </c>
    </row>
    <row r="13" spans="2:9" ht="18" customHeight="1">
      <c r="B13" s="37">
        <v>46220</v>
      </c>
      <c r="C13" s="38" t="s">
        <v>58</v>
      </c>
      <c r="D13" s="38" t="s">
        <v>605</v>
      </c>
      <c r="E13" s="38" t="s">
        <v>971</v>
      </c>
      <c r="F13" s="38" t="s">
        <v>602</v>
      </c>
      <c r="G13" s="38" t="s">
        <v>98</v>
      </c>
      <c r="H13" s="38" t="s">
        <v>972</v>
      </c>
      <c r="I13" s="38" t="s">
        <v>973</v>
      </c>
    </row>
    <row r="14" spans="2:9" ht="18" customHeight="1">
      <c r="B14" s="37">
        <v>46221</v>
      </c>
      <c r="C14" s="38" t="s">
        <v>71</v>
      </c>
      <c r="D14" s="38" t="s">
        <v>596</v>
      </c>
      <c r="E14" s="38" t="s">
        <v>974</v>
      </c>
      <c r="F14" s="38" t="s">
        <v>975</v>
      </c>
      <c r="G14" s="38" t="s">
        <v>98</v>
      </c>
      <c r="H14" s="38" t="s">
        <v>976</v>
      </c>
      <c r="I14" s="38" t="s">
        <v>977</v>
      </c>
    </row>
    <row r="15" spans="2:9" ht="18" customHeight="1">
      <c r="B15" s="37">
        <v>46222</v>
      </c>
      <c r="C15" s="38" t="s">
        <v>71</v>
      </c>
      <c r="D15" s="38" t="s">
        <v>605</v>
      </c>
      <c r="E15" s="38" t="s">
        <v>978</v>
      </c>
      <c r="F15" s="38" t="s">
        <v>979</v>
      </c>
      <c r="G15" s="38" t="s">
        <v>117</v>
      </c>
      <c r="H15" s="38" t="s">
        <v>980</v>
      </c>
      <c r="I15" s="38" t="s">
        <v>981</v>
      </c>
    </row>
    <row r="16" spans="2:9" ht="14.25" customHeight="1"/>
    <row r="17" spans="2:9" ht="21.75" customHeight="1">
      <c r="B17" s="48" t="s">
        <v>124</v>
      </c>
      <c r="C17" s="49"/>
      <c r="D17" s="49"/>
      <c r="E17" s="49"/>
      <c r="F17" s="49"/>
      <c r="G17" s="49"/>
      <c r="H17" s="49"/>
      <c r="I17" s="43"/>
    </row>
    <row r="18" spans="2:9" ht="13.5" customHeight="1">
      <c r="B18" s="56" t="s">
        <v>31</v>
      </c>
      <c r="C18" s="57"/>
      <c r="D18" s="57"/>
      <c r="E18" s="57"/>
      <c r="F18" s="57"/>
      <c r="G18" s="57"/>
      <c r="H18" s="57"/>
      <c r="I18" s="57"/>
    </row>
    <row r="19" spans="2:9" ht="19.5" customHeight="1">
      <c r="B19" s="16" t="s">
        <v>125</v>
      </c>
      <c r="C19" s="16" t="s">
        <v>88</v>
      </c>
      <c r="D19" s="63" t="s">
        <v>126</v>
      </c>
      <c r="E19" s="49"/>
      <c r="F19" s="43"/>
      <c r="G19" s="63" t="s">
        <v>127</v>
      </c>
      <c r="H19" s="43"/>
      <c r="I19" s="16" t="s">
        <v>52</v>
      </c>
    </row>
    <row r="20" spans="2:9" ht="15.75" customHeight="1">
      <c r="B20" s="80" t="s">
        <v>128</v>
      </c>
      <c r="C20" s="49"/>
      <c r="D20" s="49"/>
      <c r="E20" s="49"/>
      <c r="F20" s="49"/>
      <c r="G20" s="49"/>
      <c r="H20" s="49"/>
      <c r="I20" s="43"/>
    </row>
    <row r="21" spans="2:9" ht="18" customHeight="1">
      <c r="B21" s="39"/>
      <c r="C21" s="38" t="s">
        <v>53</v>
      </c>
      <c r="D21" s="38" t="s">
        <v>982</v>
      </c>
      <c r="E21" s="39"/>
      <c r="F21" s="39"/>
      <c r="G21" s="38" t="s">
        <v>162</v>
      </c>
      <c r="H21" s="39"/>
      <c r="I21" s="38" t="s">
        <v>983</v>
      </c>
    </row>
    <row r="22" spans="2:9" ht="18" customHeight="1">
      <c r="B22" s="39"/>
      <c r="C22" s="38" t="s">
        <v>67</v>
      </c>
      <c r="D22" s="38" t="s">
        <v>984</v>
      </c>
      <c r="E22" s="39"/>
      <c r="F22" s="39"/>
      <c r="G22" s="38" t="s">
        <v>158</v>
      </c>
      <c r="H22" s="39"/>
      <c r="I22" s="38" t="s">
        <v>985</v>
      </c>
    </row>
    <row r="23" spans="2:9" ht="18" customHeight="1">
      <c r="B23" s="39"/>
      <c r="C23" s="38" t="s">
        <v>63</v>
      </c>
      <c r="D23" s="38" t="s">
        <v>986</v>
      </c>
      <c r="E23" s="39"/>
      <c r="F23" s="39"/>
      <c r="G23" s="38" t="s">
        <v>632</v>
      </c>
      <c r="H23" s="39"/>
      <c r="I23" s="39"/>
    </row>
    <row r="24" spans="2:9" ht="15.75" customHeight="1">
      <c r="B24" s="80" t="s">
        <v>150</v>
      </c>
      <c r="C24" s="49"/>
      <c r="D24" s="49"/>
      <c r="E24" s="49"/>
      <c r="F24" s="49"/>
      <c r="G24" s="49"/>
      <c r="H24" s="49"/>
      <c r="I24" s="43"/>
    </row>
    <row r="25" spans="2:9" ht="18" customHeight="1">
      <c r="B25" s="39"/>
      <c r="C25" s="38" t="s">
        <v>53</v>
      </c>
      <c r="D25" s="38" t="s">
        <v>956</v>
      </c>
      <c r="E25" s="39"/>
      <c r="F25" s="39"/>
      <c r="G25" s="38" t="s">
        <v>957</v>
      </c>
      <c r="H25" s="39"/>
      <c r="I25" s="38" t="s">
        <v>987</v>
      </c>
    </row>
    <row r="26" spans="2:9" ht="18" customHeight="1">
      <c r="B26" s="39"/>
      <c r="C26" s="38" t="s">
        <v>71</v>
      </c>
      <c r="D26" s="38" t="s">
        <v>988</v>
      </c>
      <c r="E26" s="39"/>
      <c r="F26" s="39"/>
      <c r="G26" s="38" t="s">
        <v>975</v>
      </c>
      <c r="H26" s="39"/>
      <c r="I26" s="38" t="s">
        <v>989</v>
      </c>
    </row>
    <row r="27" spans="2:9" ht="18" customHeight="1">
      <c r="B27" s="39"/>
      <c r="C27" s="38" t="s">
        <v>58</v>
      </c>
      <c r="D27" s="38" t="s">
        <v>990</v>
      </c>
      <c r="E27" s="39"/>
      <c r="F27" s="39"/>
      <c r="G27" s="38" t="s">
        <v>602</v>
      </c>
      <c r="H27" s="39"/>
      <c r="I27" s="39"/>
    </row>
    <row r="28" spans="2:9" ht="15.75" customHeight="1">
      <c r="B28" s="80" t="s">
        <v>160</v>
      </c>
      <c r="C28" s="49"/>
      <c r="D28" s="49"/>
      <c r="E28" s="49"/>
      <c r="F28" s="49"/>
      <c r="G28" s="49"/>
      <c r="H28" s="49"/>
      <c r="I28" s="43"/>
    </row>
    <row r="29" spans="2:9" ht="18" customHeight="1">
      <c r="B29" s="39"/>
      <c r="C29" s="38" t="s">
        <v>71</v>
      </c>
      <c r="D29" s="38" t="s">
        <v>991</v>
      </c>
      <c r="E29" s="39"/>
      <c r="F29" s="39"/>
      <c r="G29" s="38" t="s">
        <v>975</v>
      </c>
      <c r="H29" s="39"/>
      <c r="I29" s="38" t="s">
        <v>629</v>
      </c>
    </row>
    <row r="30" spans="2:9" ht="18" customHeight="1">
      <c r="B30" s="39"/>
      <c r="C30" s="38" t="s">
        <v>53</v>
      </c>
      <c r="D30" s="38" t="s">
        <v>992</v>
      </c>
      <c r="E30" s="39"/>
      <c r="F30" s="39"/>
      <c r="G30" s="38" t="s">
        <v>957</v>
      </c>
      <c r="H30" s="39"/>
      <c r="I30" s="38" t="s">
        <v>629</v>
      </c>
    </row>
    <row r="31" spans="2:9" ht="18" customHeight="1">
      <c r="B31" s="39"/>
      <c r="C31" s="38" t="s">
        <v>53</v>
      </c>
      <c r="D31" s="38" t="s">
        <v>993</v>
      </c>
      <c r="E31" s="39"/>
      <c r="F31" s="39"/>
      <c r="G31" s="38" t="s">
        <v>162</v>
      </c>
      <c r="H31" s="39"/>
      <c r="I31" s="38" t="s">
        <v>629</v>
      </c>
    </row>
    <row r="32" spans="2:9" ht="15.75" customHeight="1">
      <c r="B32" s="80" t="s">
        <v>170</v>
      </c>
      <c r="C32" s="49"/>
      <c r="D32" s="49"/>
      <c r="E32" s="49"/>
      <c r="F32" s="49"/>
      <c r="G32" s="49"/>
      <c r="H32" s="49"/>
      <c r="I32" s="43"/>
    </row>
    <row r="33" spans="2:9" ht="18" customHeight="1">
      <c r="B33" s="39"/>
      <c r="C33" s="38" t="s">
        <v>58</v>
      </c>
      <c r="D33" s="38" t="s">
        <v>994</v>
      </c>
      <c r="E33" s="39"/>
      <c r="F33" s="39"/>
      <c r="G33" s="38" t="s">
        <v>888</v>
      </c>
      <c r="H33" s="39"/>
      <c r="I33" s="39"/>
    </row>
    <row r="34" spans="2:9" ht="18" customHeight="1">
      <c r="B34" s="39"/>
      <c r="C34" s="39"/>
      <c r="D34" s="39"/>
      <c r="E34" s="39"/>
      <c r="F34" s="39"/>
      <c r="G34" s="39"/>
      <c r="H34" s="39"/>
      <c r="I34" s="39"/>
    </row>
    <row r="35" spans="2:9" ht="18" customHeight="1">
      <c r="B35" s="39"/>
      <c r="C35" s="39"/>
      <c r="D35" s="39"/>
      <c r="E35" s="39"/>
      <c r="F35" s="39"/>
      <c r="G35" s="39"/>
      <c r="H35" s="39"/>
      <c r="I35" s="39"/>
    </row>
    <row r="36" spans="2:9" ht="14.25" customHeight="1"/>
    <row r="37" spans="2:9" ht="21.75" customHeight="1">
      <c r="B37" s="47" t="s">
        <v>290</v>
      </c>
      <c r="C37" s="49"/>
      <c r="D37" s="49"/>
      <c r="E37" s="49"/>
      <c r="F37" s="49"/>
      <c r="G37" s="49"/>
      <c r="H37" s="49"/>
      <c r="I37" s="43"/>
    </row>
    <row r="38" spans="2:9" ht="13.5" customHeight="1">
      <c r="B38" s="56" t="s">
        <v>172</v>
      </c>
      <c r="C38" s="57"/>
      <c r="D38" s="57"/>
      <c r="E38" s="57"/>
      <c r="F38" s="57"/>
      <c r="G38" s="57"/>
      <c r="H38" s="57"/>
      <c r="I38" s="57"/>
    </row>
    <row r="39" spans="2:9" ht="19.5" customHeight="1">
      <c r="B39" s="20" t="s">
        <v>173</v>
      </c>
      <c r="C39" s="20" t="s">
        <v>174</v>
      </c>
      <c r="D39" s="20" t="s">
        <v>175</v>
      </c>
      <c r="E39" s="65" t="s">
        <v>176</v>
      </c>
      <c r="F39" s="49"/>
      <c r="G39" s="49"/>
      <c r="H39" s="49"/>
      <c r="I39" s="43"/>
    </row>
    <row r="40" spans="2:9" ht="21.75" customHeight="1">
      <c r="B40" s="66" t="s">
        <v>638</v>
      </c>
      <c r="C40" s="49"/>
      <c r="D40" s="43"/>
      <c r="E40" s="74" t="s">
        <v>995</v>
      </c>
      <c r="F40" s="49"/>
      <c r="G40" s="49"/>
      <c r="H40" s="49"/>
      <c r="I40" s="43"/>
    </row>
    <row r="41" spans="2:9" ht="21.75" customHeight="1">
      <c r="B41" s="54" t="s">
        <v>179</v>
      </c>
      <c r="C41" s="49"/>
      <c r="D41" s="43"/>
      <c r="E41" s="74" t="s">
        <v>996</v>
      </c>
      <c r="F41" s="49"/>
      <c r="G41" s="49"/>
      <c r="H41" s="49"/>
      <c r="I41" s="43"/>
    </row>
    <row r="42" spans="2:9" ht="21.75" customHeight="1">
      <c r="B42" s="54" t="s">
        <v>181</v>
      </c>
      <c r="C42" s="49"/>
      <c r="D42" s="43"/>
      <c r="E42" s="74" t="s">
        <v>997</v>
      </c>
      <c r="F42" s="49"/>
      <c r="G42" s="49"/>
      <c r="H42" s="49"/>
      <c r="I42" s="43"/>
    </row>
    <row r="43" spans="2:9" ht="21.75" customHeight="1">
      <c r="B43" s="54" t="s">
        <v>183</v>
      </c>
      <c r="C43" s="49"/>
      <c r="D43" s="43"/>
      <c r="E43" s="74" t="s">
        <v>998</v>
      </c>
      <c r="F43" s="49"/>
      <c r="G43" s="49"/>
      <c r="H43" s="49"/>
      <c r="I43" s="43"/>
    </row>
    <row r="44" spans="2:9" ht="21.75" customHeight="1">
      <c r="B44" s="66" t="s">
        <v>559</v>
      </c>
      <c r="C44" s="49"/>
      <c r="D44" s="43"/>
      <c r="E44" s="74" t="s">
        <v>999</v>
      </c>
      <c r="F44" s="49"/>
      <c r="G44" s="49"/>
      <c r="H44" s="49"/>
      <c r="I44" s="43"/>
    </row>
    <row r="45" spans="2:9" ht="21.75" customHeight="1">
      <c r="B45" s="54" t="s">
        <v>179</v>
      </c>
      <c r="C45" s="49"/>
      <c r="D45" s="43"/>
      <c r="E45" s="74" t="s">
        <v>1000</v>
      </c>
      <c r="F45" s="49"/>
      <c r="G45" s="49"/>
      <c r="H45" s="49"/>
      <c r="I45" s="43"/>
    </row>
    <row r="46" spans="2:9" ht="21.75" customHeight="1">
      <c r="B46" s="54" t="s">
        <v>181</v>
      </c>
      <c r="C46" s="49"/>
      <c r="D46" s="43"/>
      <c r="E46" s="74" t="s">
        <v>1001</v>
      </c>
      <c r="F46" s="49"/>
      <c r="G46" s="49"/>
      <c r="H46" s="49"/>
      <c r="I46" s="43"/>
    </row>
    <row r="47" spans="2:9" ht="21.75" customHeight="1">
      <c r="B47" s="54" t="s">
        <v>183</v>
      </c>
      <c r="C47" s="49"/>
      <c r="D47" s="43"/>
      <c r="E47" s="74" t="s">
        <v>1002</v>
      </c>
      <c r="F47" s="49"/>
      <c r="G47" s="49"/>
      <c r="H47" s="49"/>
      <c r="I47" s="43"/>
    </row>
    <row r="48" spans="2:9" ht="21.75" customHeight="1">
      <c r="B48" s="66" t="s">
        <v>564</v>
      </c>
      <c r="C48" s="49"/>
      <c r="D48" s="43"/>
      <c r="E48" s="74" t="s">
        <v>1003</v>
      </c>
      <c r="F48" s="49"/>
      <c r="G48" s="49"/>
      <c r="H48" s="49"/>
      <c r="I48" s="43"/>
    </row>
    <row r="49" spans="2:9" ht="21.75" customHeight="1">
      <c r="B49" s="54" t="s">
        <v>179</v>
      </c>
      <c r="C49" s="49"/>
      <c r="D49" s="43"/>
      <c r="E49" s="74" t="s">
        <v>1004</v>
      </c>
      <c r="F49" s="49"/>
      <c r="G49" s="49"/>
      <c r="H49" s="49"/>
      <c r="I49" s="43"/>
    </row>
    <row r="50" spans="2:9" ht="21.75" customHeight="1">
      <c r="B50" s="54" t="s">
        <v>181</v>
      </c>
      <c r="C50" s="49"/>
      <c r="D50" s="43"/>
      <c r="E50" s="74" t="s">
        <v>1005</v>
      </c>
      <c r="F50" s="49"/>
      <c r="G50" s="49"/>
      <c r="H50" s="49"/>
      <c r="I50" s="43"/>
    </row>
    <row r="51" spans="2:9" ht="21.75" customHeight="1">
      <c r="B51" s="54" t="s">
        <v>183</v>
      </c>
      <c r="C51" s="49"/>
      <c r="D51" s="43"/>
      <c r="E51" s="74" t="s">
        <v>1006</v>
      </c>
      <c r="F51" s="49"/>
      <c r="G51" s="49"/>
      <c r="H51" s="49"/>
      <c r="I51" s="43"/>
    </row>
    <row r="52" spans="2:9" ht="21.75" customHeight="1">
      <c r="B52" s="66" t="s">
        <v>1007</v>
      </c>
      <c r="C52" s="49"/>
      <c r="D52" s="43"/>
      <c r="E52" s="74" t="s">
        <v>1008</v>
      </c>
      <c r="F52" s="49"/>
      <c r="G52" s="49"/>
      <c r="H52" s="49"/>
      <c r="I52" s="43"/>
    </row>
    <row r="53" spans="2:9" ht="21.75" customHeight="1">
      <c r="B53" s="54" t="s">
        <v>179</v>
      </c>
      <c r="C53" s="49"/>
      <c r="D53" s="43"/>
      <c r="E53" s="74" t="s">
        <v>1009</v>
      </c>
      <c r="F53" s="49"/>
      <c r="G53" s="49"/>
      <c r="H53" s="49"/>
      <c r="I53" s="43"/>
    </row>
    <row r="54" spans="2:9" ht="21.75" customHeight="1">
      <c r="B54" s="54" t="s">
        <v>181</v>
      </c>
      <c r="C54" s="49"/>
      <c r="D54" s="43"/>
      <c r="E54" s="74" t="s">
        <v>1010</v>
      </c>
      <c r="F54" s="49"/>
      <c r="G54" s="49"/>
      <c r="H54" s="49"/>
      <c r="I54" s="43"/>
    </row>
    <row r="55" spans="2:9" ht="21.75" customHeight="1">
      <c r="B55" s="54" t="s">
        <v>183</v>
      </c>
      <c r="C55" s="49"/>
      <c r="D55" s="43"/>
      <c r="E55" s="74" t="s">
        <v>1011</v>
      </c>
      <c r="F55" s="49"/>
      <c r="G55" s="49"/>
      <c r="H55" s="49"/>
      <c r="I55" s="43"/>
    </row>
    <row r="56" spans="2:9" ht="14.25" customHeight="1">
      <c r="E56" s="50"/>
      <c r="F56" s="49"/>
      <c r="G56" s="49"/>
      <c r="H56" s="49"/>
      <c r="I56" s="43"/>
    </row>
    <row r="57" spans="2:9" ht="21.75" customHeight="1">
      <c r="B57" s="55" t="s">
        <v>199</v>
      </c>
      <c r="C57" s="49"/>
      <c r="D57" s="49"/>
      <c r="E57" s="49"/>
      <c r="F57" s="49"/>
      <c r="G57" s="49"/>
      <c r="H57" s="49"/>
      <c r="I57" s="43"/>
    </row>
    <row r="58" spans="2:9" ht="13.5" customHeight="1">
      <c r="B58" s="56" t="s">
        <v>200</v>
      </c>
      <c r="C58" s="57"/>
      <c r="D58" s="57"/>
      <c r="E58" s="57"/>
      <c r="F58" s="57"/>
      <c r="G58" s="57"/>
      <c r="H58" s="57"/>
      <c r="I58" s="57"/>
    </row>
    <row r="59" spans="2:9" ht="18" customHeight="1">
      <c r="B59" s="79" t="s">
        <v>1012</v>
      </c>
      <c r="C59" s="49"/>
      <c r="D59" s="49"/>
      <c r="E59" s="49"/>
      <c r="F59" s="49"/>
      <c r="G59" s="49"/>
      <c r="H59" s="49"/>
      <c r="I59" s="43"/>
    </row>
    <row r="60" spans="2:9" ht="18" customHeight="1">
      <c r="B60" s="77" t="s">
        <v>202</v>
      </c>
      <c r="C60" s="49"/>
      <c r="D60" s="43"/>
      <c r="E60" s="78" t="s">
        <v>1013</v>
      </c>
      <c r="F60" s="57"/>
      <c r="G60" s="57"/>
      <c r="H60" s="57"/>
      <c r="I60" s="57"/>
    </row>
    <row r="61" spans="2:9" ht="18" customHeight="1">
      <c r="B61" s="77" t="s">
        <v>204</v>
      </c>
      <c r="C61" s="49"/>
      <c r="D61" s="43"/>
      <c r="E61" s="78" t="s">
        <v>1014</v>
      </c>
      <c r="F61" s="57"/>
      <c r="G61" s="57"/>
      <c r="H61" s="57"/>
      <c r="I61" s="57"/>
    </row>
    <row r="62" spans="2:9" ht="18" customHeight="1">
      <c r="B62" s="77" t="s">
        <v>206</v>
      </c>
      <c r="C62" s="49"/>
      <c r="D62" s="43"/>
      <c r="E62" s="78" t="s">
        <v>1015</v>
      </c>
      <c r="F62" s="57"/>
      <c r="G62" s="57"/>
      <c r="H62" s="57"/>
      <c r="I62" s="57"/>
    </row>
    <row r="63" spans="2:9" ht="18" customHeight="1">
      <c r="B63" s="77" t="s">
        <v>208</v>
      </c>
      <c r="C63" s="49"/>
      <c r="D63" s="43"/>
      <c r="E63" s="78" t="s">
        <v>1016</v>
      </c>
      <c r="F63" s="57"/>
      <c r="G63" s="57"/>
      <c r="H63" s="57"/>
      <c r="I63" s="57"/>
    </row>
    <row r="64" spans="2:9" ht="18" customHeight="1">
      <c r="B64" s="77" t="s">
        <v>210</v>
      </c>
      <c r="C64" s="49"/>
      <c r="D64" s="43"/>
      <c r="E64" s="78" t="s">
        <v>1017</v>
      </c>
      <c r="F64" s="57"/>
      <c r="G64" s="57"/>
      <c r="H64" s="57"/>
      <c r="I64" s="57"/>
    </row>
    <row r="65" spans="2:9" ht="14.25" customHeight="1">
      <c r="B65" s="40"/>
      <c r="C65" s="40"/>
      <c r="D65" s="40"/>
      <c r="E65" s="40"/>
      <c r="F65" s="40"/>
      <c r="G65" s="40"/>
      <c r="H65" s="40"/>
      <c r="I65" s="40"/>
    </row>
    <row r="66" spans="2:9" ht="18" customHeight="1">
      <c r="B66" s="79" t="s">
        <v>212</v>
      </c>
      <c r="C66" s="49"/>
      <c r="D66" s="49"/>
      <c r="E66" s="49"/>
      <c r="F66" s="49"/>
      <c r="G66" s="49"/>
      <c r="H66" s="49"/>
      <c r="I66" s="43"/>
    </row>
    <row r="67" spans="2:9" ht="18" customHeight="1">
      <c r="B67" s="77" t="s">
        <v>202</v>
      </c>
      <c r="C67" s="49"/>
      <c r="D67" s="43"/>
      <c r="E67" s="78" t="s">
        <v>1018</v>
      </c>
      <c r="F67" s="57"/>
      <c r="G67" s="57"/>
      <c r="H67" s="57"/>
      <c r="I67" s="57"/>
    </row>
    <row r="68" spans="2:9" ht="18" customHeight="1">
      <c r="B68" s="77" t="s">
        <v>204</v>
      </c>
      <c r="C68" s="49"/>
      <c r="D68" s="43"/>
      <c r="E68" s="78" t="s">
        <v>1019</v>
      </c>
      <c r="F68" s="57"/>
      <c r="G68" s="57"/>
      <c r="H68" s="57"/>
      <c r="I68" s="57"/>
    </row>
    <row r="69" spans="2:9" ht="18" customHeight="1">
      <c r="B69" s="77" t="s">
        <v>206</v>
      </c>
      <c r="C69" s="49"/>
      <c r="D69" s="43"/>
      <c r="E69" s="78" t="s">
        <v>1020</v>
      </c>
      <c r="F69" s="57"/>
      <c r="G69" s="57"/>
      <c r="H69" s="57"/>
      <c r="I69" s="57"/>
    </row>
    <row r="70" spans="2:9" ht="18" customHeight="1">
      <c r="B70" s="77" t="s">
        <v>208</v>
      </c>
      <c r="C70" s="49"/>
      <c r="D70" s="43"/>
      <c r="E70" s="78" t="s">
        <v>1021</v>
      </c>
      <c r="F70" s="57"/>
      <c r="G70" s="57"/>
      <c r="H70" s="57"/>
      <c r="I70" s="57"/>
    </row>
    <row r="71" spans="2:9" ht="18" customHeight="1">
      <c r="B71" s="77" t="s">
        <v>210</v>
      </c>
      <c r="C71" s="49"/>
      <c r="D71" s="43"/>
      <c r="E71" s="78" t="s">
        <v>1022</v>
      </c>
      <c r="F71" s="57"/>
      <c r="G71" s="57"/>
      <c r="H71" s="57"/>
      <c r="I71" s="57"/>
    </row>
    <row r="72" spans="2:9" ht="14.25" customHeight="1">
      <c r="B72" s="40"/>
      <c r="C72" s="40"/>
      <c r="D72" s="40"/>
      <c r="E72" s="40"/>
      <c r="F72" s="40"/>
      <c r="G72" s="40"/>
      <c r="H72" s="40"/>
      <c r="I72" s="40"/>
    </row>
    <row r="73" spans="2:9" ht="18" customHeight="1">
      <c r="B73" s="79" t="s">
        <v>218</v>
      </c>
      <c r="C73" s="49"/>
      <c r="D73" s="49"/>
      <c r="E73" s="49"/>
      <c r="F73" s="49"/>
      <c r="G73" s="49"/>
      <c r="H73" s="49"/>
      <c r="I73" s="43"/>
    </row>
    <row r="74" spans="2:9" ht="18" customHeight="1">
      <c r="B74" s="77" t="s">
        <v>202</v>
      </c>
      <c r="C74" s="49"/>
      <c r="D74" s="43"/>
      <c r="E74" s="76" t="s">
        <v>1023</v>
      </c>
      <c r="F74" s="49"/>
      <c r="G74" s="49"/>
      <c r="H74" s="49"/>
      <c r="I74" s="43"/>
    </row>
    <row r="75" spans="2:9" ht="18" customHeight="1">
      <c r="B75" s="77" t="s">
        <v>204</v>
      </c>
      <c r="C75" s="49"/>
      <c r="D75" s="43"/>
      <c r="E75" s="76" t="s">
        <v>1024</v>
      </c>
      <c r="F75" s="49"/>
      <c r="G75" s="49"/>
      <c r="H75" s="49"/>
      <c r="I75" s="43"/>
    </row>
    <row r="76" spans="2:9" ht="18" customHeight="1">
      <c r="B76" s="77" t="s">
        <v>206</v>
      </c>
      <c r="C76" s="49"/>
      <c r="D76" s="43"/>
      <c r="E76" s="76" t="s">
        <v>1025</v>
      </c>
      <c r="F76" s="49"/>
      <c r="G76" s="49"/>
      <c r="H76" s="49"/>
      <c r="I76" s="43"/>
    </row>
    <row r="77" spans="2:9" ht="18" customHeight="1">
      <c r="B77" s="77" t="s">
        <v>208</v>
      </c>
      <c r="C77" s="49"/>
      <c r="D77" s="43"/>
      <c r="E77" s="76" t="s">
        <v>1026</v>
      </c>
      <c r="F77" s="49"/>
      <c r="G77" s="49"/>
      <c r="H77" s="49"/>
      <c r="I77" s="43"/>
    </row>
    <row r="78" spans="2:9" ht="18" customHeight="1">
      <c r="B78" s="77" t="s">
        <v>210</v>
      </c>
      <c r="C78" s="49"/>
      <c r="D78" s="43"/>
      <c r="E78" s="76" t="s">
        <v>1027</v>
      </c>
      <c r="F78" s="49"/>
      <c r="G78" s="49"/>
      <c r="H78" s="49"/>
      <c r="I78" s="43"/>
    </row>
    <row r="79" spans="2:9" ht="14.25" customHeight="1">
      <c r="B79" s="40"/>
      <c r="C79" s="40"/>
      <c r="D79" s="40"/>
      <c r="E79" s="40"/>
      <c r="F79" s="40"/>
      <c r="G79" s="40"/>
      <c r="H79" s="40"/>
      <c r="I79" s="40"/>
    </row>
    <row r="80" spans="2:9" ht="18" customHeight="1">
      <c r="B80" s="79" t="s">
        <v>224</v>
      </c>
      <c r="C80" s="49"/>
      <c r="D80" s="49"/>
      <c r="E80" s="49"/>
      <c r="F80" s="49"/>
      <c r="G80" s="49"/>
      <c r="H80" s="49"/>
      <c r="I80" s="43"/>
    </row>
    <row r="81" spans="2:9" ht="18" customHeight="1">
      <c r="B81" s="77" t="s">
        <v>202</v>
      </c>
      <c r="C81" s="49"/>
      <c r="D81" s="43"/>
      <c r="E81" s="76" t="s">
        <v>1028</v>
      </c>
      <c r="F81" s="49"/>
      <c r="G81" s="49"/>
      <c r="H81" s="49"/>
      <c r="I81" s="43"/>
    </row>
    <row r="82" spans="2:9" ht="18" customHeight="1">
      <c r="B82" s="77" t="s">
        <v>204</v>
      </c>
      <c r="C82" s="49"/>
      <c r="D82" s="43"/>
      <c r="E82" s="76" t="s">
        <v>1029</v>
      </c>
      <c r="F82" s="49"/>
      <c r="G82" s="49"/>
      <c r="H82" s="49"/>
      <c r="I82" s="43"/>
    </row>
    <row r="83" spans="2:9" ht="18" customHeight="1">
      <c r="B83" s="77" t="s">
        <v>206</v>
      </c>
      <c r="C83" s="49"/>
      <c r="D83" s="43"/>
      <c r="E83" s="76" t="s">
        <v>1030</v>
      </c>
      <c r="F83" s="49"/>
      <c r="G83" s="49"/>
      <c r="H83" s="49"/>
      <c r="I83" s="43"/>
    </row>
    <row r="84" spans="2:9" ht="18" customHeight="1">
      <c r="B84" s="77" t="s">
        <v>208</v>
      </c>
      <c r="C84" s="49"/>
      <c r="D84" s="43"/>
      <c r="E84" s="76" t="s">
        <v>1031</v>
      </c>
      <c r="F84" s="49"/>
      <c r="G84" s="49"/>
      <c r="H84" s="49"/>
      <c r="I84" s="43"/>
    </row>
    <row r="85" spans="2:9" ht="18" customHeight="1">
      <c r="B85" s="77" t="s">
        <v>210</v>
      </c>
      <c r="C85" s="49"/>
      <c r="D85" s="43"/>
      <c r="E85" s="76" t="s">
        <v>1032</v>
      </c>
      <c r="F85" s="49"/>
      <c r="G85" s="49"/>
      <c r="H85" s="49"/>
      <c r="I85" s="43"/>
    </row>
    <row r="86" spans="2:9" ht="14.25" customHeight="1">
      <c r="B86" s="40"/>
      <c r="C86" s="40"/>
      <c r="D86" s="40"/>
      <c r="E86" s="40"/>
      <c r="F86" s="40"/>
      <c r="G86" s="40"/>
      <c r="H86" s="40"/>
      <c r="I86" s="40"/>
    </row>
    <row r="87" spans="2:9" ht="18" customHeight="1">
      <c r="B87" s="79" t="s">
        <v>1033</v>
      </c>
      <c r="C87" s="49"/>
      <c r="D87" s="49"/>
      <c r="E87" s="49"/>
      <c r="F87" s="49"/>
      <c r="G87" s="49"/>
      <c r="H87" s="49"/>
      <c r="I87" s="43"/>
    </row>
    <row r="88" spans="2:9" ht="18" customHeight="1">
      <c r="B88" s="77" t="s">
        <v>202</v>
      </c>
      <c r="C88" s="49"/>
      <c r="D88" s="43"/>
      <c r="E88" s="76" t="s">
        <v>1034</v>
      </c>
      <c r="F88" s="49"/>
      <c r="G88" s="49"/>
      <c r="H88" s="49"/>
      <c r="I88" s="43"/>
    </row>
    <row r="89" spans="2:9" ht="18" customHeight="1">
      <c r="B89" s="77" t="s">
        <v>204</v>
      </c>
      <c r="C89" s="49"/>
      <c r="D89" s="43"/>
      <c r="E89" s="76" t="s">
        <v>1035</v>
      </c>
      <c r="F89" s="49"/>
      <c r="G89" s="49"/>
      <c r="H89" s="49"/>
      <c r="I89" s="43"/>
    </row>
    <row r="90" spans="2:9" ht="18" customHeight="1">
      <c r="B90" s="77" t="s">
        <v>206</v>
      </c>
      <c r="C90" s="49"/>
      <c r="D90" s="43"/>
      <c r="E90" s="76" t="s">
        <v>1036</v>
      </c>
      <c r="F90" s="49"/>
      <c r="G90" s="49"/>
      <c r="H90" s="49"/>
      <c r="I90" s="43"/>
    </row>
    <row r="91" spans="2:9" ht="18" customHeight="1">
      <c r="B91" s="77" t="s">
        <v>208</v>
      </c>
      <c r="C91" s="49"/>
      <c r="D91" s="43"/>
      <c r="E91" s="76" t="s">
        <v>1037</v>
      </c>
      <c r="F91" s="49"/>
      <c r="G91" s="49"/>
      <c r="H91" s="49"/>
      <c r="I91" s="43"/>
    </row>
    <row r="92" spans="2:9" ht="18" customHeight="1">
      <c r="B92" s="77" t="s">
        <v>210</v>
      </c>
      <c r="C92" s="49"/>
      <c r="D92" s="43"/>
      <c r="E92" s="76" t="s">
        <v>1038</v>
      </c>
      <c r="F92" s="49"/>
      <c r="G92" s="49"/>
      <c r="H92" s="49"/>
      <c r="I92" s="43"/>
    </row>
    <row r="93" spans="2:9" ht="14.25" customHeight="1"/>
    <row r="94" spans="2:9" ht="15.75" customHeight="1">
      <c r="B94" s="60" t="s">
        <v>1039</v>
      </c>
      <c r="C94" s="49"/>
      <c r="D94" s="49"/>
      <c r="E94" s="49"/>
      <c r="F94" s="49"/>
      <c r="G94" s="49"/>
      <c r="H94" s="49"/>
      <c r="I94" s="43"/>
    </row>
    <row r="95" spans="2:9" ht="14.25" customHeight="1"/>
    <row r="96" spans="2:9"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6">
    <mergeCell ref="E61:I61"/>
    <mergeCell ref="B68:D68"/>
    <mergeCell ref="B69:D69"/>
    <mergeCell ref="E69:I69"/>
    <mergeCell ref="B70:D70"/>
    <mergeCell ref="E70:I70"/>
    <mergeCell ref="B71:D71"/>
    <mergeCell ref="E71:I71"/>
    <mergeCell ref="B48:D48"/>
    <mergeCell ref="B49:D49"/>
    <mergeCell ref="B50:D50"/>
    <mergeCell ref="B51:D51"/>
    <mergeCell ref="B52:D52"/>
    <mergeCell ref="E47:I47"/>
    <mergeCell ref="E48:I48"/>
    <mergeCell ref="E49:I49"/>
    <mergeCell ref="E50:I50"/>
    <mergeCell ref="E51:I51"/>
    <mergeCell ref="E52:I52"/>
    <mergeCell ref="B43:D43"/>
    <mergeCell ref="B44:D44"/>
    <mergeCell ref="B45:D45"/>
    <mergeCell ref="E43:I43"/>
    <mergeCell ref="E44:I44"/>
    <mergeCell ref="E45:I45"/>
    <mergeCell ref="E46:I46"/>
    <mergeCell ref="B46:D46"/>
    <mergeCell ref="B47:D47"/>
    <mergeCell ref="B38:I38"/>
    <mergeCell ref="B20:I20"/>
    <mergeCell ref="B24:I24"/>
    <mergeCell ref="B28:I28"/>
    <mergeCell ref="B32:I32"/>
    <mergeCell ref="E39:I39"/>
    <mergeCell ref="B40:D40"/>
    <mergeCell ref="B41:D41"/>
    <mergeCell ref="B42:D42"/>
    <mergeCell ref="E40:I40"/>
    <mergeCell ref="E41:I41"/>
    <mergeCell ref="E42:I42"/>
    <mergeCell ref="B2:I2"/>
    <mergeCell ref="B3:I3"/>
    <mergeCell ref="B5:I5"/>
    <mergeCell ref="B6:I6"/>
    <mergeCell ref="B17:I17"/>
    <mergeCell ref="B18:I18"/>
    <mergeCell ref="G19:H19"/>
    <mergeCell ref="D19:F19"/>
    <mergeCell ref="B37:I37"/>
    <mergeCell ref="B90:D90"/>
    <mergeCell ref="B91:D91"/>
    <mergeCell ref="B92:D92"/>
    <mergeCell ref="E91:I91"/>
    <mergeCell ref="E92:I92"/>
    <mergeCell ref="E85:I85"/>
    <mergeCell ref="B87:I87"/>
    <mergeCell ref="B88:D88"/>
    <mergeCell ref="E88:I88"/>
    <mergeCell ref="B89:D89"/>
    <mergeCell ref="E89:I89"/>
    <mergeCell ref="E90:I90"/>
    <mergeCell ref="B81:D81"/>
    <mergeCell ref="E81:I81"/>
    <mergeCell ref="B82:D82"/>
    <mergeCell ref="E82:I82"/>
    <mergeCell ref="B83:D83"/>
    <mergeCell ref="E83:I83"/>
    <mergeCell ref="B84:D84"/>
    <mergeCell ref="E84:I84"/>
    <mergeCell ref="B85:D85"/>
    <mergeCell ref="B94:I94"/>
    <mergeCell ref="B61:D61"/>
    <mergeCell ref="B62:D62"/>
    <mergeCell ref="B63:D63"/>
    <mergeCell ref="B64:D64"/>
    <mergeCell ref="E62:I62"/>
    <mergeCell ref="E63:I63"/>
    <mergeCell ref="E64:I64"/>
    <mergeCell ref="B66:I66"/>
    <mergeCell ref="B67:D67"/>
    <mergeCell ref="E67:I67"/>
    <mergeCell ref="E68:I68"/>
    <mergeCell ref="B73:I73"/>
    <mergeCell ref="B74:D74"/>
    <mergeCell ref="E74:I74"/>
    <mergeCell ref="B75:D75"/>
    <mergeCell ref="E75:I75"/>
    <mergeCell ref="B76:D76"/>
    <mergeCell ref="E76:I76"/>
    <mergeCell ref="B77:D77"/>
    <mergeCell ref="E77:I77"/>
    <mergeCell ref="B78:D78"/>
    <mergeCell ref="E78:I78"/>
    <mergeCell ref="B80:I80"/>
    <mergeCell ref="B53:D53"/>
    <mergeCell ref="B54:D54"/>
    <mergeCell ref="B55:D55"/>
    <mergeCell ref="B60:D60"/>
    <mergeCell ref="E60:I60"/>
    <mergeCell ref="E56:I56"/>
    <mergeCell ref="B57:I57"/>
    <mergeCell ref="B58:I58"/>
    <mergeCell ref="E53:I53"/>
    <mergeCell ref="E54:I54"/>
    <mergeCell ref="E55:I55"/>
    <mergeCell ref="B59:I59"/>
  </mergeCells>
  <pageMargins left="0.75" right="0.75" top="1" bottom="1"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000"/>
  <sheetViews>
    <sheetView showGridLines="0" workbookViewId="0"/>
  </sheetViews>
  <sheetFormatPr defaultColWidth="14.42578125" defaultRowHeight="15" customHeight="1"/>
  <cols>
    <col min="1" max="1" width="3" customWidth="1"/>
    <col min="2" max="2" width="12" customWidth="1"/>
    <col min="3" max="6" width="16" customWidth="1"/>
    <col min="7" max="11" width="13" customWidth="1"/>
    <col min="12" max="12" width="54.28515625" customWidth="1"/>
    <col min="13" max="26" width="8.5703125" customWidth="1"/>
  </cols>
  <sheetData>
    <row r="1" spans="2:12" ht="13.5" customHeight="1"/>
    <row r="2" spans="2:12" ht="33.75" customHeight="1">
      <c r="B2" s="61" t="s">
        <v>1040</v>
      </c>
      <c r="C2" s="49"/>
      <c r="D2" s="49"/>
      <c r="E2" s="49"/>
      <c r="F2" s="49"/>
      <c r="G2" s="49"/>
      <c r="H2" s="49"/>
      <c r="I2" s="49"/>
      <c r="J2" s="49"/>
      <c r="K2" s="49"/>
      <c r="L2" s="43"/>
    </row>
    <row r="3" spans="2:12" ht="14.25" customHeight="1"/>
    <row r="4" spans="2:12" ht="19.5" customHeight="1">
      <c r="B4" s="46" t="s">
        <v>1041</v>
      </c>
      <c r="C4" s="49"/>
      <c r="D4" s="49"/>
      <c r="E4" s="49"/>
      <c r="F4" s="49"/>
      <c r="G4" s="49"/>
      <c r="H4" s="49"/>
      <c r="I4" s="49"/>
      <c r="J4" s="49"/>
      <c r="K4" s="49"/>
      <c r="L4" s="43"/>
    </row>
    <row r="5" spans="2:12" ht="19.5" customHeight="1">
      <c r="B5" s="3" t="s">
        <v>1042</v>
      </c>
      <c r="C5" s="3" t="s">
        <v>1043</v>
      </c>
      <c r="D5" s="3" t="s">
        <v>1044</v>
      </c>
      <c r="E5" s="3" t="s">
        <v>1045</v>
      </c>
      <c r="F5" s="3" t="s">
        <v>1046</v>
      </c>
      <c r="G5" s="3" t="s">
        <v>1047</v>
      </c>
      <c r="H5" s="3" t="s">
        <v>1048</v>
      </c>
      <c r="I5" s="3" t="s">
        <v>117</v>
      </c>
      <c r="J5" s="3" t="s">
        <v>98</v>
      </c>
      <c r="K5" s="3" t="s">
        <v>103</v>
      </c>
      <c r="L5" s="3" t="s">
        <v>52</v>
      </c>
    </row>
    <row r="6" spans="2:12" ht="18" customHeight="1">
      <c r="B6" s="41" t="s">
        <v>1049</v>
      </c>
      <c r="C6" s="41">
        <f>COUNTIF(Week_01!$C$8:$C$15,"A")</f>
        <v>2</v>
      </c>
      <c r="D6" s="41">
        <f>COUNTIF(Week_01!$C$8:$C$15,"B")</f>
        <v>1</v>
      </c>
      <c r="E6" s="41">
        <f>COUNTIF(Week_01!$C$8:$C$15,"C")</f>
        <v>1</v>
      </c>
      <c r="F6" s="41">
        <f>COUNTIF(Week_01!$C$8:$C$15,"D")</f>
        <v>1</v>
      </c>
      <c r="G6" s="41">
        <f>COUNTIF(Week_01!$C$8:$C$15,"E")</f>
        <v>1</v>
      </c>
      <c r="H6" s="41">
        <f t="shared" ref="H6:H15" si="0">SUM(C6:G6)</f>
        <v>6</v>
      </c>
      <c r="I6" s="41">
        <f>COUNTIF(Week_01!$G$8:$G$15,"Low")</f>
        <v>2</v>
      </c>
      <c r="J6" s="41">
        <f>COUNTIF(Week_01!$G$8:$G$15,"Medium")</f>
        <v>2</v>
      </c>
      <c r="K6" s="41">
        <f>COUNTIF(Week_01!$G$8:$G$15,"High")</f>
        <v>2</v>
      </c>
      <c r="L6" s="41" t="s">
        <v>1050</v>
      </c>
    </row>
    <row r="7" spans="2:12" ht="18" customHeight="1">
      <c r="B7" s="41" t="s">
        <v>1051</v>
      </c>
      <c r="C7" s="41">
        <f>COUNTIF(Week_02!$C$8:$C$15,"A")</f>
        <v>2</v>
      </c>
      <c r="D7" s="41">
        <f>COUNTIF(Week_02!$C$8:$C$15,"B")</f>
        <v>1</v>
      </c>
      <c r="E7" s="41">
        <f>COUNTIF(Week_02!$C$8:$C$15,"C")</f>
        <v>1</v>
      </c>
      <c r="F7" s="41">
        <f>COUNTIF(Week_02!$C$8:$C$15,"D")</f>
        <v>1</v>
      </c>
      <c r="G7" s="41">
        <f>COUNTIF(Week_02!$C$8:$C$15,"E")</f>
        <v>1</v>
      </c>
      <c r="H7" s="41">
        <f t="shared" si="0"/>
        <v>6</v>
      </c>
      <c r="I7" s="41">
        <f>COUNTIF(Week_02!$G$8:$G$15,"Low")</f>
        <v>2</v>
      </c>
      <c r="J7" s="41">
        <f>COUNTIF(Week_02!$G$8:$G$15,"Medium")</f>
        <v>3</v>
      </c>
      <c r="K7" s="41">
        <f>COUNTIF(Week_02!$G$8:$G$15,"High")</f>
        <v>1</v>
      </c>
      <c r="L7" s="41" t="s">
        <v>1052</v>
      </c>
    </row>
    <row r="8" spans="2:12" ht="18" customHeight="1">
      <c r="B8" s="41" t="s">
        <v>1053</v>
      </c>
      <c r="C8" s="41">
        <f>COUNTIF(Week_03!$C$8:$C$15,"A")</f>
        <v>2</v>
      </c>
      <c r="D8" s="41">
        <f>COUNTIF(Week_03!$C$8:$C$15,"B")</f>
        <v>1</v>
      </c>
      <c r="E8" s="41">
        <f>COUNTIF(Week_03!$C$8:$C$15,"C")</f>
        <v>1</v>
      </c>
      <c r="F8" s="41">
        <f>COUNTIF(Week_03!$C$8:$C$15,"D")</f>
        <v>1</v>
      </c>
      <c r="G8" s="41">
        <f>COUNTIF(Week_03!$C$8:$C$15,"E")</f>
        <v>1</v>
      </c>
      <c r="H8" s="41">
        <f t="shared" si="0"/>
        <v>6</v>
      </c>
      <c r="I8" s="41">
        <f>COUNTIF(Week_03!$G$8:$G$15,"Low")</f>
        <v>2</v>
      </c>
      <c r="J8" s="41">
        <f>COUNTIF(Week_03!$G$8:$G$15,"Medium")</f>
        <v>3</v>
      </c>
      <c r="K8" s="41">
        <f>COUNTIF(Week_03!$G$8:$G$15,"High")</f>
        <v>1</v>
      </c>
      <c r="L8" s="41" t="s">
        <v>1054</v>
      </c>
    </row>
    <row r="9" spans="2:12" ht="18" customHeight="1">
      <c r="B9" s="41" t="s">
        <v>1055</v>
      </c>
      <c r="C9" s="41">
        <f>COUNTIF(Week_04!$C$8:$C$15,"A")</f>
        <v>2</v>
      </c>
      <c r="D9" s="41">
        <f>COUNTIF(Week_04!$C$8:$C$15,"B")</f>
        <v>2</v>
      </c>
      <c r="E9" s="41">
        <f>COUNTIF(Week_04!$C$8:$C$15,"C")</f>
        <v>1</v>
      </c>
      <c r="F9" s="41">
        <f>COUNTIF(Week_04!$C$8:$C$15,"D")</f>
        <v>1</v>
      </c>
      <c r="G9" s="41">
        <f>COUNTIF(Week_04!$C$8:$C$15,"E")</f>
        <v>1</v>
      </c>
      <c r="H9" s="41">
        <f t="shared" si="0"/>
        <v>7</v>
      </c>
      <c r="I9" s="41">
        <f>COUNTIF(Week_04!$G$8:$G$15,"Low")</f>
        <v>2</v>
      </c>
      <c r="J9" s="41">
        <f>COUNTIF(Week_04!$G$8:$G$15,"Medium")</f>
        <v>4</v>
      </c>
      <c r="K9" s="41">
        <f>COUNTIF(Week_04!$G$8:$G$15,"High")</f>
        <v>1</v>
      </c>
      <c r="L9" s="41" t="s">
        <v>1056</v>
      </c>
    </row>
    <row r="10" spans="2:12" ht="18" customHeight="1">
      <c r="B10" s="41" t="s">
        <v>1057</v>
      </c>
      <c r="C10" s="41">
        <f>COUNTIF(Week_05!$C$8:$C$15,"A")</f>
        <v>2</v>
      </c>
      <c r="D10" s="41">
        <f>COUNTIF(Week_05!$C$8:$C$15,"B")</f>
        <v>2</v>
      </c>
      <c r="E10" s="41">
        <f>COUNTIF(Week_05!$C$8:$C$15,"C")</f>
        <v>1</v>
      </c>
      <c r="F10" s="41">
        <f>COUNTIF(Week_05!$C$8:$C$15,"D")</f>
        <v>1</v>
      </c>
      <c r="G10" s="41">
        <f>COUNTIF(Week_05!$C$8:$C$15,"E")</f>
        <v>1</v>
      </c>
      <c r="H10" s="41">
        <f t="shared" si="0"/>
        <v>7</v>
      </c>
      <c r="I10" s="41">
        <f>COUNTIF(Week_05!$G$8:$G$15,"Low")</f>
        <v>2</v>
      </c>
      <c r="J10" s="41">
        <f>COUNTIF(Week_05!$G$8:$G$15,"Medium")</f>
        <v>4</v>
      </c>
      <c r="K10" s="41">
        <f>COUNTIF(Week_05!$G$8:$G$15,"High")</f>
        <v>1</v>
      </c>
      <c r="L10" s="41" t="s">
        <v>1058</v>
      </c>
    </row>
    <row r="11" spans="2:12" ht="18" customHeight="1">
      <c r="B11" s="41" t="s">
        <v>1059</v>
      </c>
      <c r="C11" s="41">
        <f>COUNTIF(Week_06!$C$8:$C$15,"A")</f>
        <v>1</v>
      </c>
      <c r="D11" s="41">
        <f>COUNTIF(Week_06!$C$8:$C$15,"B")</f>
        <v>2</v>
      </c>
      <c r="E11" s="41">
        <f>COUNTIF(Week_06!$C$8:$C$15,"C")</f>
        <v>1</v>
      </c>
      <c r="F11" s="41">
        <f>COUNTIF(Week_06!$C$8:$C$15,"D")</f>
        <v>1</v>
      </c>
      <c r="G11" s="41">
        <f>COUNTIF(Week_06!$C$8:$C$15,"E")</f>
        <v>1</v>
      </c>
      <c r="H11" s="41">
        <f t="shared" si="0"/>
        <v>6</v>
      </c>
      <c r="I11" s="41">
        <f>COUNTIF(Week_06!$G$8:$G$15,"Low")</f>
        <v>0</v>
      </c>
      <c r="J11" s="41">
        <f>COUNTIF(Week_06!$G$8:$G$15,"Medium")</f>
        <v>4</v>
      </c>
      <c r="K11" s="41">
        <f>COUNTIF(Week_06!$G$8:$G$15,"High")</f>
        <v>2</v>
      </c>
      <c r="L11" s="41" t="s">
        <v>1060</v>
      </c>
    </row>
    <row r="12" spans="2:12" ht="18" customHeight="1">
      <c r="B12" s="41" t="s">
        <v>1061</v>
      </c>
      <c r="C12" s="41">
        <f>COUNTIF(Week_07!$C$8:$C$15,"A")</f>
        <v>2</v>
      </c>
      <c r="D12" s="41">
        <f>COUNTIF(Week_07!$C$8:$C$15,"B")</f>
        <v>2</v>
      </c>
      <c r="E12" s="41">
        <f>COUNTIF(Week_07!$C$8:$C$15,"C")</f>
        <v>1</v>
      </c>
      <c r="F12" s="41">
        <f>COUNTIF(Week_07!$C$8:$C$15,"D")</f>
        <v>1</v>
      </c>
      <c r="G12" s="41">
        <f>COUNTIF(Week_07!$C$8:$C$15,"E")</f>
        <v>2</v>
      </c>
      <c r="H12" s="41">
        <f t="shared" si="0"/>
        <v>8</v>
      </c>
      <c r="I12" s="41">
        <f>COUNTIF(Week_07!$G$8:$G$15,"Low")</f>
        <v>2</v>
      </c>
      <c r="J12" s="41">
        <f>COUNTIF(Week_07!$G$8:$G$15,"Medium")</f>
        <v>4</v>
      </c>
      <c r="K12" s="41">
        <f>COUNTIF(Week_07!$G$8:$G$15,"High")</f>
        <v>2</v>
      </c>
      <c r="L12" s="41" t="s">
        <v>1062</v>
      </c>
    </row>
    <row r="13" spans="2:12" ht="18" customHeight="1">
      <c r="B13" s="41" t="s">
        <v>1063</v>
      </c>
      <c r="C13" s="41">
        <f>COUNTIF(Week_09!$C$8:$C$15,"A")</f>
        <v>2</v>
      </c>
      <c r="D13" s="41">
        <f>COUNTIF(Week_09!$C$8:$C$15,"B")</f>
        <v>2</v>
      </c>
      <c r="E13" s="41">
        <f>COUNTIF(Week_09!$C$8:$C$15,"C")</f>
        <v>1</v>
      </c>
      <c r="F13" s="41">
        <f>COUNTIF(Week_09!$C$8:$C$15,"D")</f>
        <v>1</v>
      </c>
      <c r="G13" s="41">
        <f>COUNTIF(Week_09!$C$8:$C$15,"E")</f>
        <v>2</v>
      </c>
      <c r="H13" s="41">
        <f t="shared" si="0"/>
        <v>8</v>
      </c>
      <c r="I13" s="41">
        <f>COUNTIF(Week_09!$G$8:$G$15,"Low")</f>
        <v>1</v>
      </c>
      <c r="J13" s="41">
        <f>COUNTIF(Week_09!$G$8:$G$15,"Medium")</f>
        <v>5</v>
      </c>
      <c r="K13" s="41">
        <f>COUNTIF(Week_09!$G$8:$G$15,"High")</f>
        <v>2</v>
      </c>
      <c r="L13" s="41" t="s">
        <v>1064</v>
      </c>
    </row>
    <row r="14" spans="2:12" ht="18" customHeight="1">
      <c r="B14" s="41" t="s">
        <v>1065</v>
      </c>
      <c r="C14" s="41">
        <f>COUNTIF(Week_08!$C$8:$C$15,"A")</f>
        <v>2</v>
      </c>
      <c r="D14" s="41">
        <f>COUNTIF(Week_08!$C$8:$C$15,"B")</f>
        <v>1</v>
      </c>
      <c r="E14" s="41">
        <f>COUNTIF(Week_08!$C$8:$C$15,"C")</f>
        <v>2</v>
      </c>
      <c r="F14" s="41">
        <f>COUNTIF(Week_08!$C$8:$C$15,"D")</f>
        <v>1</v>
      </c>
      <c r="G14" s="41">
        <f>COUNTIF(Week_08!$C$8:$C$15,"E")</f>
        <v>2</v>
      </c>
      <c r="H14" s="41">
        <f t="shared" si="0"/>
        <v>8</v>
      </c>
      <c r="I14" s="41">
        <f>COUNTIF(Week_08!$G$8:$G$15,"Low")</f>
        <v>1</v>
      </c>
      <c r="J14" s="41">
        <f>COUNTIF(Week_08!$G$8:$G$15,"Medium")</f>
        <v>5</v>
      </c>
      <c r="K14" s="41">
        <f>COUNTIF(Week_08!$G$8:$G$15,"High")</f>
        <v>2</v>
      </c>
      <c r="L14" s="41" t="s">
        <v>1066</v>
      </c>
    </row>
    <row r="15" spans="2:12" ht="18" customHeight="1">
      <c r="B15" s="41" t="s">
        <v>1067</v>
      </c>
      <c r="C15" s="41">
        <f>COUNTIF(Week_10!$C$8:$C$15,"A")</f>
        <v>2</v>
      </c>
      <c r="D15" s="41">
        <f>COUNTIF(Week_10!$C$8:$C$15,"B")</f>
        <v>1</v>
      </c>
      <c r="E15" s="41">
        <f>COUNTIF(Week_10!$C$8:$C$15,"C")</f>
        <v>1</v>
      </c>
      <c r="F15" s="41">
        <f>COUNTIF(Week_10!$C$8:$C$15,"D")</f>
        <v>2</v>
      </c>
      <c r="G15" s="41">
        <f>COUNTIF(Week_10!$C$8:$C$15,"E")</f>
        <v>2</v>
      </c>
      <c r="H15" s="41">
        <f t="shared" si="0"/>
        <v>8</v>
      </c>
      <c r="I15" s="41">
        <f>COUNTIF(Week_10!$G$8:$G$15,"Low")</f>
        <v>1</v>
      </c>
      <c r="J15" s="41">
        <f>COUNTIF(Week_10!$G$8:$G$15,"Medium")</f>
        <v>6</v>
      </c>
      <c r="K15" s="41">
        <f>COUNTIF(Week_10!$G$8:$G$15,"High")</f>
        <v>1</v>
      </c>
      <c r="L15" s="41" t="s">
        <v>1068</v>
      </c>
    </row>
    <row r="16" spans="2:12" ht="19.5" customHeight="1">
      <c r="B16" s="3" t="s">
        <v>1069</v>
      </c>
      <c r="C16" s="3">
        <f t="shared" ref="C16:K16" si="1">SUM(C6:C15)</f>
        <v>19</v>
      </c>
      <c r="D16" s="3">
        <f t="shared" si="1"/>
        <v>15</v>
      </c>
      <c r="E16" s="3">
        <f t="shared" si="1"/>
        <v>11</v>
      </c>
      <c r="F16" s="3">
        <f t="shared" si="1"/>
        <v>11</v>
      </c>
      <c r="G16" s="3">
        <f t="shared" si="1"/>
        <v>14</v>
      </c>
      <c r="H16" s="3">
        <f t="shared" si="1"/>
        <v>70</v>
      </c>
      <c r="I16" s="3">
        <f t="shared" si="1"/>
        <v>15</v>
      </c>
      <c r="J16" s="3">
        <f t="shared" si="1"/>
        <v>40</v>
      </c>
      <c r="K16" s="3">
        <f t="shared" si="1"/>
        <v>15</v>
      </c>
      <c r="L16" s="3"/>
    </row>
    <row r="17" spans="2:12" ht="14.25" customHeight="1"/>
    <row r="18" spans="2:12" ht="19.5" customHeight="1">
      <c r="B18" s="55" t="s">
        <v>1070</v>
      </c>
      <c r="C18" s="49"/>
      <c r="D18" s="49"/>
      <c r="E18" s="49"/>
      <c r="F18" s="49"/>
      <c r="G18" s="49"/>
      <c r="H18" s="49"/>
      <c r="I18" s="49"/>
      <c r="J18" s="49"/>
      <c r="K18" s="49"/>
      <c r="L18" s="43"/>
    </row>
    <row r="19" spans="2:12" ht="21.75" customHeight="1">
      <c r="B19" s="53" t="s">
        <v>1071</v>
      </c>
      <c r="C19" s="49"/>
      <c r="D19" s="49"/>
      <c r="E19" s="50" t="s">
        <v>1072</v>
      </c>
      <c r="F19" s="49"/>
      <c r="G19" s="49"/>
      <c r="H19" s="49"/>
      <c r="I19" s="49"/>
      <c r="J19" s="49"/>
      <c r="K19" s="49"/>
      <c r="L19" s="43"/>
    </row>
    <row r="20" spans="2:12" ht="21.75" customHeight="1">
      <c r="B20" s="53" t="s">
        <v>1073</v>
      </c>
      <c r="C20" s="49"/>
      <c r="D20" s="49"/>
      <c r="E20" s="50" t="s">
        <v>1074</v>
      </c>
      <c r="F20" s="49"/>
      <c r="G20" s="49"/>
      <c r="H20" s="49"/>
      <c r="I20" s="49"/>
      <c r="J20" s="49"/>
      <c r="K20" s="49"/>
      <c r="L20" s="43"/>
    </row>
    <row r="21" spans="2:12" ht="21.75" customHeight="1">
      <c r="B21" s="53" t="s">
        <v>1075</v>
      </c>
      <c r="C21" s="49"/>
      <c r="D21" s="49"/>
      <c r="E21" s="50" t="s">
        <v>1076</v>
      </c>
      <c r="F21" s="49"/>
      <c r="G21" s="49"/>
      <c r="H21" s="49"/>
      <c r="I21" s="49"/>
      <c r="J21" s="49"/>
      <c r="K21" s="49"/>
      <c r="L21" s="43"/>
    </row>
    <row r="22" spans="2:12" ht="32.25" customHeight="1">
      <c r="B22" s="53" t="s">
        <v>1077</v>
      </c>
      <c r="C22" s="49"/>
      <c r="D22" s="49"/>
      <c r="E22" s="50" t="s">
        <v>1078</v>
      </c>
      <c r="F22" s="49"/>
      <c r="G22" s="49"/>
      <c r="H22" s="49"/>
      <c r="I22" s="49"/>
      <c r="J22" s="49"/>
      <c r="K22" s="49"/>
      <c r="L22" s="43"/>
    </row>
    <row r="23" spans="2:12" ht="14.25" customHeight="1"/>
    <row r="24" spans="2:12" ht="14.25" customHeight="1"/>
    <row r="25" spans="2:12" ht="14.25" customHeight="1"/>
    <row r="26" spans="2:12" ht="14.25" customHeight="1"/>
    <row r="27" spans="2:12" ht="14.25" customHeight="1"/>
    <row r="28" spans="2:12" ht="14.25" customHeight="1"/>
    <row r="29" spans="2:12" ht="14.25" customHeight="1"/>
    <row r="30" spans="2:12" ht="14.25" customHeight="1"/>
    <row r="31" spans="2:12" ht="14.25" customHeight="1"/>
    <row r="32" spans="2: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B21:D21"/>
    <mergeCell ref="E21:L21"/>
    <mergeCell ref="B22:D22"/>
    <mergeCell ref="E22:L22"/>
    <mergeCell ref="B2:L2"/>
    <mergeCell ref="B4:L4"/>
    <mergeCell ref="B18:L18"/>
    <mergeCell ref="B19:D19"/>
    <mergeCell ref="E19:L19"/>
    <mergeCell ref="B20:D20"/>
    <mergeCell ref="E20:L20"/>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Hướng dẫn</vt:lpstr>
      <vt:lpstr>Thông tin nhóm</vt:lpstr>
      <vt:lpstr>Week_01</vt:lpstr>
      <vt:lpstr>Week_02</vt:lpstr>
      <vt:lpstr>Week_03</vt:lpstr>
      <vt:lpstr>Week_04</vt:lpstr>
      <vt:lpstr>Week_05</vt:lpstr>
      <vt:lpstr>Week_06</vt:lpstr>
      <vt:lpstr>Week_07</vt:lpstr>
      <vt:lpstr>Week_08</vt:lpstr>
      <vt:lpstr>Week_09</vt:lpstr>
      <vt:lpstr>Week_10</vt:lpstr>
      <vt:lpstr>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2026-07-22T04:32:31Z</dcterms:modified>
</cp:coreProperties>
</file>